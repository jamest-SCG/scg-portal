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Mitchell\Box\SCG Project Docs\"/>
    </mc:Choice>
  </mc:AlternateContent>
  <xr:revisionPtr revIDLastSave="0" documentId="13_ncr:1_{FE20ED41-9A52-4BA8-8D07-0A4BCF0893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tive Jobs Sheet" sheetId="1" r:id="rId1"/>
    <sheet name="Projected Monthly Rev" sheetId="2" r:id="rId2"/>
    <sheet name="CBUS Projected Monthly Revenues" sheetId="3" r:id="rId3"/>
    <sheet name="CLE Projected Monthly Rev" sheetId="4" r:id="rId4"/>
    <sheet name="Projected Annual Income Remanin" sheetId="5" r:id="rId5"/>
    <sheet name="Foundation In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50" i="1"/>
  <c r="E51" i="1"/>
  <c r="E48" i="1"/>
  <c r="F51" i="1"/>
  <c r="F50" i="1"/>
  <c r="F49" i="1"/>
  <c r="F48" i="1"/>
  <c r="C64" i="6"/>
  <c r="E42" i="1" s="1"/>
  <c r="A2" i="5"/>
  <c r="J4" i="4"/>
  <c r="I4" i="4"/>
  <c r="H4" i="4"/>
  <c r="G4" i="4"/>
  <c r="F4" i="4"/>
  <c r="E4" i="4"/>
  <c r="D4" i="4"/>
  <c r="C4" i="4"/>
  <c r="B4" i="4"/>
  <c r="A4" i="4"/>
  <c r="J4" i="3"/>
  <c r="I4" i="3"/>
  <c r="H4" i="3"/>
  <c r="G4" i="3"/>
  <c r="F4" i="3"/>
  <c r="E4" i="3"/>
  <c r="D4" i="3"/>
  <c r="B4" i="3"/>
  <c r="A4" i="3"/>
  <c r="J4" i="2"/>
  <c r="I4" i="2"/>
  <c r="H4" i="2"/>
  <c r="G4" i="2"/>
  <c r="F4" i="2"/>
  <c r="E4" i="2"/>
  <c r="D4" i="2"/>
  <c r="B4" i="2"/>
  <c r="A4" i="2"/>
  <c r="F47" i="1"/>
  <c r="E47" i="1"/>
  <c r="F46" i="1"/>
  <c r="E46" i="1"/>
  <c r="F45" i="1"/>
  <c r="E45" i="1"/>
  <c r="F44" i="1"/>
  <c r="E44" i="1"/>
  <c r="F43" i="1"/>
  <c r="E43" i="1"/>
  <c r="F42" i="1"/>
  <c r="F41" i="1"/>
  <c r="E41" i="1"/>
  <c r="F40" i="1"/>
  <c r="E40" i="1"/>
  <c r="F39" i="1"/>
  <c r="E39" i="1"/>
  <c r="F38" i="1"/>
  <c r="E38" i="1"/>
  <c r="F37" i="1"/>
  <c r="E37" i="1"/>
  <c r="F36" i="1"/>
  <c r="E36" i="1"/>
  <c r="J35" i="1"/>
  <c r="B2" i="5" s="1"/>
  <c r="I2" i="5" s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13" i="1" l="1"/>
  <c r="R13" i="1" s="1"/>
  <c r="G18" i="1"/>
  <c r="R18" i="1" s="1"/>
  <c r="G15" i="1"/>
  <c r="R15" i="1" s="1"/>
  <c r="G20" i="1"/>
  <c r="R20" i="1" s="1"/>
  <c r="G23" i="1"/>
  <c r="R23" i="1" s="1"/>
  <c r="G27" i="1"/>
  <c r="R27" i="1" s="1"/>
  <c r="G11" i="1"/>
  <c r="R11" i="1" s="1"/>
  <c r="G21" i="1"/>
  <c r="R21" i="1" s="1"/>
  <c r="G14" i="1"/>
  <c r="R14" i="1" s="1"/>
  <c r="G39" i="1"/>
  <c r="R39" i="1" s="1"/>
  <c r="G49" i="1"/>
  <c r="R49" i="1" s="1"/>
  <c r="G24" i="1"/>
  <c r="R24" i="1" s="1"/>
  <c r="G30" i="1"/>
  <c r="R30" i="1" s="1"/>
  <c r="G26" i="1"/>
  <c r="R26" i="1" s="1"/>
  <c r="G50" i="1"/>
  <c r="R50" i="1" s="1"/>
  <c r="G51" i="1"/>
  <c r="R51" i="1" s="1"/>
  <c r="G47" i="1"/>
  <c r="R47" i="1" s="1"/>
  <c r="G5" i="1"/>
  <c r="R5" i="1" s="1"/>
  <c r="G36" i="1"/>
  <c r="R36" i="1" s="1"/>
  <c r="G44" i="1"/>
  <c r="R44" i="1" s="1"/>
  <c r="G40" i="1"/>
  <c r="R40" i="1" s="1"/>
  <c r="G48" i="1"/>
  <c r="R48" i="1" s="1"/>
  <c r="G35" i="1"/>
  <c r="R35" i="1" s="1"/>
  <c r="G43" i="1"/>
  <c r="R43" i="1" s="1"/>
  <c r="G22" i="1"/>
  <c r="R22" i="1" s="1"/>
  <c r="G38" i="1"/>
  <c r="R38" i="1" s="1"/>
  <c r="G6" i="1"/>
  <c r="R6" i="1" s="1"/>
  <c r="G41" i="1"/>
  <c r="R41" i="1" s="1"/>
  <c r="G28" i="1"/>
  <c r="R28" i="1" s="1"/>
  <c r="G42" i="1"/>
  <c r="R42" i="1" s="1"/>
  <c r="C4" i="2"/>
  <c r="G16" i="1"/>
  <c r="R16" i="1" s="1"/>
  <c r="G25" i="1"/>
  <c r="R25" i="1" s="1"/>
  <c r="G29" i="1"/>
  <c r="R29" i="1" s="1"/>
  <c r="G9" i="1"/>
  <c r="R9" i="1" s="1"/>
  <c r="G17" i="1"/>
  <c r="R17" i="1" s="1"/>
  <c r="G37" i="1"/>
  <c r="R37" i="1" s="1"/>
  <c r="G8" i="1"/>
  <c r="R8" i="1" s="1"/>
  <c r="G7" i="1"/>
  <c r="R7" i="1" s="1"/>
  <c r="G2" i="1"/>
  <c r="R2" i="1" s="1"/>
  <c r="G10" i="1"/>
  <c r="R10" i="1" s="1"/>
  <c r="G31" i="1"/>
  <c r="R31" i="1" s="1"/>
  <c r="G3" i="1"/>
  <c r="R3" i="1" s="1"/>
  <c r="G32" i="1"/>
  <c r="R32" i="1" s="1"/>
  <c r="G45" i="1"/>
  <c r="R45" i="1" s="1"/>
  <c r="G4" i="1"/>
  <c r="R4" i="1" s="1"/>
  <c r="G12" i="1"/>
  <c r="R12" i="1" s="1"/>
  <c r="G19" i="1"/>
  <c r="R19" i="1" s="1"/>
  <c r="G33" i="1"/>
  <c r="R33" i="1" s="1"/>
  <c r="G46" i="1"/>
  <c r="R46" i="1" s="1"/>
  <c r="G34" i="1"/>
  <c r="R34" i="1" s="1"/>
  <c r="C4" i="3"/>
</calcChain>
</file>

<file path=xl/sharedStrings.xml><?xml version="1.0" encoding="utf-8"?>
<sst xmlns="http://schemas.openxmlformats.org/spreadsheetml/2006/main" count="407" uniqueCount="208">
  <si>
    <t>Office</t>
  </si>
  <si>
    <t>Project #</t>
  </si>
  <si>
    <t>Project Name</t>
  </si>
  <si>
    <t>PM</t>
  </si>
  <si>
    <t>Contract to Date</t>
  </si>
  <si>
    <t>Billed to Date</t>
  </si>
  <si>
    <t>Remaining Billings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</si>
  <si>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</si>
  <si>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</si>
  <si>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</si>
  <si>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</si>
  <si>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</si>
  <si>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</si>
  <si>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</si>
  <si>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</si>
  <si>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</si>
  <si>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</si>
  <si>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Zero Balance</t>
  </si>
  <si>
    <t>Notes</t>
  </si>
  <si>
    <t>CLE</t>
  </si>
  <si>
    <t>23-22</t>
  </si>
  <si>
    <t>GSA Celebrezze</t>
  </si>
  <si>
    <t>S.M.</t>
  </si>
  <si>
    <t>CBUS</t>
  </si>
  <si>
    <t>23-46</t>
  </si>
  <si>
    <t>Galaxy I</t>
  </si>
  <si>
    <t>R.S.</t>
  </si>
  <si>
    <t>24-13</t>
  </si>
  <si>
    <t>TWHS Natatorium</t>
  </si>
  <si>
    <t>24-22</t>
  </si>
  <si>
    <t>Daimler Truck</t>
  </si>
  <si>
    <t>24-26</t>
  </si>
  <si>
    <t>St Michael of Arch</t>
  </si>
  <si>
    <t>D.S.</t>
  </si>
  <si>
    <t>24-34</t>
  </si>
  <si>
    <t>Pickerington Centeral JHS</t>
  </si>
  <si>
    <t xml:space="preserve">A.E. </t>
  </si>
  <si>
    <t>24-45</t>
  </si>
  <si>
    <t>Columbus Fire Station #36</t>
  </si>
  <si>
    <t>24-50</t>
  </si>
  <si>
    <t>North Olmsted PK-5</t>
  </si>
  <si>
    <t>C.G.</t>
  </si>
  <si>
    <t>24-55</t>
  </si>
  <si>
    <t>Amherst Transportation Bldg</t>
  </si>
  <si>
    <t>24-56</t>
  </si>
  <si>
    <t>Lake County Executive Airport</t>
  </si>
  <si>
    <t>25-01</t>
  </si>
  <si>
    <t>Westerville City Hall</t>
  </si>
  <si>
    <t>25-11</t>
  </si>
  <si>
    <t>25-14</t>
  </si>
  <si>
    <t>OSU Rhodes</t>
  </si>
  <si>
    <t>25-15</t>
  </si>
  <si>
    <t>OSU Riffe</t>
  </si>
  <si>
    <t>25-17</t>
  </si>
  <si>
    <t>25-18</t>
  </si>
  <si>
    <t>Lifecare Alliance</t>
  </si>
  <si>
    <t>25-21</t>
  </si>
  <si>
    <t>Everhome Suites (Furnish Windows)</t>
  </si>
  <si>
    <t>25-22</t>
  </si>
  <si>
    <t>Parsons Ave Water Plant</t>
  </si>
  <si>
    <t>25-24</t>
  </si>
  <si>
    <t>Seasons X</t>
  </si>
  <si>
    <t>25-26</t>
  </si>
  <si>
    <t>Franklin County Jail</t>
  </si>
  <si>
    <t>25-28</t>
  </si>
  <si>
    <t>Commons at Grant</t>
  </si>
  <si>
    <t>25-30</t>
  </si>
  <si>
    <t>Fifth Third Springfield</t>
  </si>
  <si>
    <t>25-31</t>
  </si>
  <si>
    <t>Riffe 25th Floor</t>
  </si>
  <si>
    <t>TBD</t>
  </si>
  <si>
    <t>25-32</t>
  </si>
  <si>
    <t>Channing Street Redevelopment</t>
  </si>
  <si>
    <t>25-33</t>
  </si>
  <si>
    <t>Asbury</t>
  </si>
  <si>
    <t>25-34</t>
  </si>
  <si>
    <t>Mad River</t>
  </si>
  <si>
    <t>25-35</t>
  </si>
  <si>
    <t>North Crest</t>
  </si>
  <si>
    <t>25-36</t>
  </si>
  <si>
    <t>NOSHOK</t>
  </si>
  <si>
    <t>25-38</t>
  </si>
  <si>
    <t>ODOT Auglaize County</t>
  </si>
  <si>
    <t>25-39</t>
  </si>
  <si>
    <t>25-40</t>
  </si>
  <si>
    <t>25-41</t>
  </si>
  <si>
    <t>Van Trust New Albany</t>
  </si>
  <si>
    <t>25-43</t>
  </si>
  <si>
    <t>Halloran Skating Park</t>
  </si>
  <si>
    <t>25-44</t>
  </si>
  <si>
    <t>25-45</t>
  </si>
  <si>
    <t>United Garage</t>
  </si>
  <si>
    <t>25-46</t>
  </si>
  <si>
    <t>Foster Senior Lofts</t>
  </si>
  <si>
    <t>25-47</t>
  </si>
  <si>
    <t xml:space="preserve">ODOT Lake County </t>
  </si>
  <si>
    <t>25-48</t>
  </si>
  <si>
    <t>ODOT Delaware County</t>
  </si>
  <si>
    <t>25-49</t>
  </si>
  <si>
    <t>Furnace Street Apartments</t>
  </si>
  <si>
    <t>25-50</t>
  </si>
  <si>
    <t>25-52</t>
  </si>
  <si>
    <t>Jefferson Fire Station</t>
  </si>
  <si>
    <t>25-53</t>
  </si>
  <si>
    <t>25-55</t>
  </si>
  <si>
    <t>Setterlin Glass Replacement</t>
  </si>
  <si>
    <t>25-56</t>
  </si>
  <si>
    <t>Atech Glass</t>
  </si>
  <si>
    <t>25-57</t>
  </si>
  <si>
    <t>North Fork</t>
  </si>
  <si>
    <t>25-58</t>
  </si>
  <si>
    <t>New Seasons Dayton</t>
  </si>
  <si>
    <t>25-59</t>
  </si>
  <si>
    <t>Hernandez Office</t>
  </si>
  <si>
    <t>25-60</t>
  </si>
  <si>
    <t xml:space="preserve">12200 Alameda </t>
  </si>
  <si>
    <t>25-61</t>
  </si>
  <si>
    <t>Nobility Court</t>
  </si>
  <si>
    <t>25-62</t>
  </si>
  <si>
    <t>CCH Hope Center</t>
  </si>
  <si>
    <t>25-63</t>
  </si>
  <si>
    <t>GISA Phase II</t>
  </si>
  <si>
    <t>25-64</t>
  </si>
  <si>
    <t xml:space="preserve">Beaver Excavating </t>
  </si>
  <si>
    <t>25-65</t>
  </si>
  <si>
    <t>FCOT Front Entry Vestibule</t>
  </si>
  <si>
    <t>25-66</t>
  </si>
  <si>
    <t>9th &amp; High</t>
  </si>
  <si>
    <t>25-67</t>
  </si>
  <si>
    <t>Coltene Office Refresh</t>
  </si>
  <si>
    <t>25-68</t>
  </si>
  <si>
    <t>Pure Ohio Wellness Dispensary</t>
  </si>
  <si>
    <t>25-70</t>
  </si>
  <si>
    <t>Target Mansfield</t>
  </si>
  <si>
    <t>25-71</t>
  </si>
  <si>
    <t>King Arts</t>
  </si>
  <si>
    <t>25-72</t>
  </si>
  <si>
    <t>The Francis Apartments</t>
  </si>
  <si>
    <t>26-01</t>
  </si>
  <si>
    <t>Ethos Church</t>
  </si>
  <si>
    <t>26-02</t>
  </si>
  <si>
    <t>UH Beechwood</t>
  </si>
  <si>
    <t>26-03</t>
  </si>
  <si>
    <t>Old Fire Station 10 Reno</t>
  </si>
  <si>
    <t>26-04</t>
  </si>
  <si>
    <t>E Broad Street Apts Clubhouse</t>
  </si>
  <si>
    <t>26-05</t>
  </si>
  <si>
    <t>KEP Door HW Replacments</t>
  </si>
  <si>
    <t>26-06</t>
  </si>
  <si>
    <t>W 26th Apartments</t>
  </si>
  <si>
    <t>NO CONTRACT IN FOLDER</t>
  </si>
  <si>
    <t>CONTRACT IS NOT FULLY EXECUTED</t>
  </si>
  <si>
    <t>Company Wide</t>
  </si>
  <si>
    <t>COLUMBUS</t>
  </si>
  <si>
    <t xml:space="preserve">Cleveland </t>
  </si>
  <si>
    <t>2025</t>
  </si>
  <si>
    <t>2026</t>
  </si>
  <si>
    <t>2025 Billed to Date</t>
  </si>
  <si>
    <t>2026 Billed to Date</t>
  </si>
  <si>
    <t>2026 Balance to Match 2025</t>
  </si>
  <si>
    <t>Job No</t>
  </si>
  <si>
    <t>Job Description</t>
  </si>
  <si>
    <t>Revised Contract</t>
  </si>
  <si>
    <t>Billings</t>
  </si>
  <si>
    <t>GSA Celebrezze Envelope</t>
  </si>
  <si>
    <t>Galaxy at Polaris Bldg 1</t>
  </si>
  <si>
    <t>24-03</t>
  </si>
  <si>
    <t>Hap Creamean</t>
  </si>
  <si>
    <t>St Michael of the Arch</t>
  </si>
  <si>
    <t>Pickerington Central JHS</t>
  </si>
  <si>
    <t>Columbus Fire Station 36</t>
  </si>
  <si>
    <t>25-06</t>
  </si>
  <si>
    <t>Franklin County</t>
  </si>
  <si>
    <t>5/3 Bank</t>
  </si>
  <si>
    <t>Market Street Fenestra</t>
  </si>
  <si>
    <t>Everhome Suites</t>
  </si>
  <si>
    <t>Channing Street Redevelopement</t>
  </si>
  <si>
    <t>Northcrest</t>
  </si>
  <si>
    <t>ODOT</t>
  </si>
  <si>
    <t>OSU Dairy Barn</t>
  </si>
  <si>
    <t>Amherst Althletic Facility</t>
  </si>
  <si>
    <t>Halloran Skate Park</t>
  </si>
  <si>
    <t>OSU Gift Shop</t>
  </si>
  <si>
    <t>ODOT Lake County Rest Area</t>
  </si>
  <si>
    <t>ODOT Delaware County Rest Area</t>
  </si>
  <si>
    <t>Pipefitters Local 120</t>
  </si>
  <si>
    <t>Jefferson Township Fire Station</t>
  </si>
  <si>
    <t>Suburban Auto Services</t>
  </si>
  <si>
    <t>25-54</t>
  </si>
  <si>
    <t>Monarch Building Glass Door</t>
  </si>
  <si>
    <t>OLA, Alameda Drive</t>
  </si>
  <si>
    <t>Francis Apartments</t>
  </si>
  <si>
    <t>Ethos Centerpoint Church</t>
  </si>
  <si>
    <t>Beechwood UH</t>
  </si>
  <si>
    <t>Broad Street Apartments</t>
  </si>
  <si>
    <t>KEP Door HW Replacements</t>
  </si>
  <si>
    <t>West 26th Apartments</t>
  </si>
  <si>
    <t>26-07</t>
  </si>
  <si>
    <t>Mentor Integra Office Build Out</t>
  </si>
  <si>
    <t>Mentor Integra</t>
  </si>
  <si>
    <t>26-08</t>
  </si>
  <si>
    <t>26-09</t>
  </si>
  <si>
    <t>26-10</t>
  </si>
  <si>
    <t>Pivotal Pointe Hub 27</t>
  </si>
  <si>
    <t>McGregor Pace Service</t>
  </si>
  <si>
    <t>Seasons 6 Glass Replacement</t>
  </si>
  <si>
    <t>McGregor Pace Service Work</t>
  </si>
  <si>
    <t>Seasons 6 Glass Replacment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</si>
</sst>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2" borderId="0" xfId="0" applyFill="1"/>
    <xf numFmtId="44" fontId="0" fillId="2" borderId="0" xfId="1" applyFont="1" applyFill="1"/>
    <xf numFmtId="44" fontId="0" fillId="2" borderId="0" xfId="0" applyNumberFormat="1" applyFill="1"/>
    <xf numFmtId="0" fontId="3" fillId="0" borderId="0" xfId="0" applyFont="1" applyAlignment="1">
      <alignment horizontal="center"/>
    </xf>
    <xf numFmtId="44" fontId="3" fillId="0" borderId="0" xfId="0" applyNumberFormat="1" applyFont="1"/>
    <xf numFmtId="0" fontId="0" fillId="3" borderId="0" xfId="0" applyFill="1"/>
    <xf numFmtId="0" fontId="0" fillId="0" borderId="1" xfId="0" applyBorder="1"/>
    <xf numFmtId="44" fontId="0" fillId="3" borderId="0" xfId="1" applyFont="1" applyFill="1"/>
    <xf numFmtId="44" fontId="0" fillId="3" borderId="0" xfId="0" applyNumberFormat="1" applyFill="1"/>
    <xf numFmtId="0" fontId="5" fillId="0" borderId="0" xfId="0" applyFont="1"/>
    <xf numFmtId="16" fontId="0" fillId="0" borderId="0" xfId="0" quotePrefix="1" applyNumberFormat="1"/>
    <xf numFmtId="44" fontId="5" fillId="0" borderId="0" xfId="1" applyFont="1"/>
    <xf numFmtId="44" fontId="5" fillId="3" borderId="0" xfId="1" applyFont="1" applyFill="1"/>
    <xf numFmtId="44" fontId="0" fillId="4" borderId="0" xfId="1" applyFont="1" applyFill="1"/>
    <xf numFmtId="44" fontId="2" fillId="0" borderId="0" xfId="1"/>
    <xf numFmtId="44" fontId="5" fillId="2" borderId="0" xfId="1" applyFont="1" applyFill="1"/>
    <xf numFmtId="0" fontId="4" fillId="0" borderId="0" xfId="0" applyFont="1" applyAlignment="1">
      <alignment horizontal="center" vertical="center"/>
    </xf>
    <xf numFmtId="0" fontId="0" fillId="0" borderId="0" xfId="0"/>
    <xf numFmtId="44" fontId="2" fillId="0" borderId="0" xfId="1" applyFont="1"/>
  </cellXfs>
  <cellStyles count="2">
    <cellStyle name="Currency" xfId="1" builtinId="4"/>
    <cellStyle name="Normal" xfId="0" builtinId="0"/>
  </cellStyles>
  <dxfs count="57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bottom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2" formatCode="mmm\-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2" formatCode="mmm\-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2" formatCode="mmm\-yy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numFmt numFmtId="22" formatCode="mmm\-yy"/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Billings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'Projected Monthly Rev'!$A$3:$J$3</c:f>
              <c:strCache>
                <c:ptCount val="10"/>
                <c:pt idx="0">
                  <c:v>Mar-26</c:v>
                </c:pt>
                <c:pt idx="1">
                  <c:v>Apr-26</c:v>
                </c:pt>
                <c:pt idx="2">
                  <c:v>May-26</c:v>
                </c:pt>
                <c:pt idx="3">
                  <c:v>Jun-26</c:v>
                </c:pt>
                <c:pt idx="4">
                  <c:v>Jul-26</c:v>
                </c:pt>
                <c:pt idx="5">
                  <c:v>Aug-26</c:v>
                </c:pt>
                <c:pt idx="6">
                  <c:v>Sep-26</c:v>
                </c:pt>
                <c:pt idx="7">
                  <c:v>Oct-26</c:v>
                </c:pt>
                <c:pt idx="8">
                  <c:v>Nov-26</c:v>
                </c:pt>
                <c:pt idx="9">
                  <c:v>Dec-26</c:v>
                </c:pt>
              </c:strCache>
            </c:strRef>
          </c:cat>
          <c:val>
            <c:numRef>
              <c:f>'Projected Monthly Rev'!$A$4:$J$4</c:f>
              <c:numCache>
                <c:formatCode>_("$"* #,##0.00_);_("$"* \(#,##0.00\);_("$"* "-"??_);_(@_)</c:formatCode>
                <c:ptCount val="10"/>
                <c:pt idx="0">
                  <c:v>687677.12999999989</c:v>
                </c:pt>
                <c:pt idx="1">
                  <c:v>955676.79</c:v>
                </c:pt>
                <c:pt idx="2">
                  <c:v>688177.84000000008</c:v>
                </c:pt>
                <c:pt idx="3">
                  <c:v>476801.03</c:v>
                </c:pt>
                <c:pt idx="4">
                  <c:v>626414.18999999994</c:v>
                </c:pt>
                <c:pt idx="5">
                  <c:v>390940</c:v>
                </c:pt>
                <c:pt idx="6">
                  <c:v>278800</c:v>
                </c:pt>
                <c:pt idx="7">
                  <c:v>96910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C-44F8-A48D-BD6FB786E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0927104"/>
        <c:axId val="1140929024"/>
      </c:barChart>
      <c:catAx>
        <c:axId val="11409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024"/>
        <c:crosses val="autoZero"/>
        <c:auto val="1"/>
        <c:lblAlgn val="ctr"/>
        <c:lblOffset val="100"/>
        <c:noMultiLvlLbl val="0"/>
      </c:catAx>
      <c:valAx>
        <c:axId val="11409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71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Billings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'CBUS Projected Monthly Revenues'!$A$3:$J$3</c:f>
              <c:strCache>
                <c:ptCount val="10"/>
                <c:pt idx="0">
                  <c:v>Mar-26</c:v>
                </c:pt>
                <c:pt idx="1">
                  <c:v>Apr-26</c:v>
                </c:pt>
                <c:pt idx="2">
                  <c:v>May-26</c:v>
                </c:pt>
                <c:pt idx="3">
                  <c:v>Jun-26</c:v>
                </c:pt>
                <c:pt idx="4">
                  <c:v>Jul-26</c:v>
                </c:pt>
                <c:pt idx="5">
                  <c:v>Aug-26</c:v>
                </c:pt>
                <c:pt idx="6">
                  <c:v>Sep-26</c:v>
                </c:pt>
                <c:pt idx="7">
                  <c:v>Oct-26</c:v>
                </c:pt>
                <c:pt idx="8">
                  <c:v>Nov-26</c:v>
                </c:pt>
                <c:pt idx="9">
                  <c:v>Dec-26</c:v>
                </c:pt>
              </c:strCache>
            </c:strRef>
          </c:cat>
          <c:val>
            <c:numRef>
              <c:f>'CBUS Projected Monthly Revenues'!$A$4:$J$4</c:f>
              <c:numCache>
                <c:formatCode>_("$"* #,##0.00_);_("$"* \(#,##0.00\);_("$"* "-"??_);_(@_)</c:formatCode>
                <c:ptCount val="10"/>
                <c:pt idx="0">
                  <c:v>409162.46</c:v>
                </c:pt>
                <c:pt idx="1">
                  <c:v>562231.64</c:v>
                </c:pt>
                <c:pt idx="2">
                  <c:v>407970.84</c:v>
                </c:pt>
                <c:pt idx="3">
                  <c:v>142737</c:v>
                </c:pt>
                <c:pt idx="4">
                  <c:v>540049.18999999994</c:v>
                </c:pt>
                <c:pt idx="5">
                  <c:v>390940</c:v>
                </c:pt>
                <c:pt idx="6">
                  <c:v>278800</c:v>
                </c:pt>
                <c:pt idx="7">
                  <c:v>96910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8-41BF-AD44-30FAC90978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0927104"/>
        <c:axId val="1140929024"/>
      </c:barChart>
      <c:catAx>
        <c:axId val="11409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024"/>
        <c:crosses val="autoZero"/>
        <c:auto val="1"/>
        <c:lblAlgn val="ctr"/>
        <c:lblOffset val="100"/>
        <c:noMultiLvlLbl val="0"/>
      </c:catAx>
      <c:valAx>
        <c:axId val="11409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71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Billings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'CLE Projected Monthly Rev'!$A$3:$J$3</c:f>
              <c:strCache>
                <c:ptCount val="10"/>
                <c:pt idx="0">
                  <c:v>Mar-26</c:v>
                </c:pt>
                <c:pt idx="1">
                  <c:v>Apr-26</c:v>
                </c:pt>
                <c:pt idx="2">
                  <c:v>May-26</c:v>
                </c:pt>
                <c:pt idx="3">
                  <c:v>Jun-26</c:v>
                </c:pt>
                <c:pt idx="4">
                  <c:v>Jul-26</c:v>
                </c:pt>
                <c:pt idx="5">
                  <c:v>Aug-26</c:v>
                </c:pt>
                <c:pt idx="6">
                  <c:v>Sep-26</c:v>
                </c:pt>
                <c:pt idx="7">
                  <c:v>Oct-26</c:v>
                </c:pt>
                <c:pt idx="8">
                  <c:v>Nov-26</c:v>
                </c:pt>
                <c:pt idx="9">
                  <c:v>Dec-26</c:v>
                </c:pt>
              </c:strCache>
            </c:strRef>
          </c:cat>
          <c:val>
            <c:numRef>
              <c:f>'CLE Projected Monthly Rev'!$A$4:$J$4</c:f>
              <c:numCache>
                <c:formatCode>_("$"* #,##0.00_);_("$"* \(#,##0.00\);_("$"* "-"??_);_(@_)</c:formatCode>
                <c:ptCount val="10"/>
                <c:pt idx="0">
                  <c:v>278514.67</c:v>
                </c:pt>
                <c:pt idx="1">
                  <c:v>393445.14999999997</c:v>
                </c:pt>
                <c:pt idx="2">
                  <c:v>280207</c:v>
                </c:pt>
                <c:pt idx="3">
                  <c:v>334064.03000000003</c:v>
                </c:pt>
                <c:pt idx="4">
                  <c:v>86365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4-4F2A-BAE8-C9988376C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0927104"/>
        <c:axId val="1140929024"/>
      </c:barChart>
      <c:catAx>
        <c:axId val="11409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024"/>
        <c:crosses val="autoZero"/>
        <c:auto val="1"/>
        <c:lblAlgn val="ctr"/>
        <c:lblOffset val="100"/>
        <c:noMultiLvlLbl val="0"/>
      </c:catAx>
      <c:valAx>
        <c:axId val="11409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71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Annual</a:t>
            </a:r>
            <a:r>
              <a:rPr lang="en-US" baseline="0"/>
              <a:t> Income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'Projected Annual Income Remanin'!$A$1:$B$1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'Projected Annual Income Remanin'!$A$2:$B$2</c:f>
              <c:numCache>
                <c:formatCode>_("$"* #,##0.00_);_("$"* \(#,##0.00\);_("$"* "-"??_);_(@_)</c:formatCode>
                <c:ptCount val="2"/>
                <c:pt idx="0">
                  <c:v>12030822</c:v>
                </c:pt>
                <c:pt idx="1">
                  <c:v>5209221.9800000004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A-44EF-B99C-CB46F6D683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703936"/>
        <c:axId val="109690976"/>
      </c:barChart>
      <c:catAx>
        <c:axId val="1097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0976"/>
        <c:crosses val="autoZero"/>
        <c:auto val="1"/>
        <c:lblAlgn val="ctr"/>
        <c:lblOffset val="100"/>
        <c:noMultiLvlLbl val="0"/>
      </c:catAx>
      <c:valAx>
        <c:axId val="1096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39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6</xdr:row>
      <xdr:rowOff>142875</xdr:rowOff>
    </xdr:from>
    <xdr:to>
      <xdr:col>18</xdr:col>
      <xdr:colOff>9525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6</xdr:row>
      <xdr:rowOff>142875</xdr:rowOff>
    </xdr:from>
    <xdr:to>
      <xdr:col>18</xdr:col>
      <xdr:colOff>9525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6</xdr:row>
      <xdr:rowOff>142875</xdr:rowOff>
    </xdr:from>
    <xdr:to>
      <xdr:col>18</xdr:col>
      <xdr:colOff>9525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9</xdr:row>
      <xdr:rowOff>100011</xdr:rowOff>
    </xdr:from>
    <xdr:to>
      <xdr:col>13</xdr:col>
      <xdr:colOff>238125</xdr:colOff>
      <xdr:row>29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S51" totalsRowShown="0" headerRowDxfId="56" dataDxfId="55" dataCellStyle="Currency">
  <autoFilter ref="A1:S51" xr:uid="{00000000-0009-0000-0100-000001000000}"/>
  <sortState xmlns:xlrd2="http://schemas.microsoft.com/office/spreadsheetml/2017/richdata2" ref="A2:S45">
    <sortCondition ref="B1:B45"/>
  </sortState>
  <tableColumns count="19">
    <tableColumn id="1" xr3:uid="{00000000-0010-0000-0000-000001000000}" name="Office"/>
    <tableColumn id="2" xr3:uid="{00000000-0010-0000-0000-000002000000}" name="Project #"/>
    <tableColumn id="3" xr3:uid="{00000000-0010-0000-0000-000003000000}" name="Project Name"/>
    <tableColumn id="4" xr3:uid="{00000000-0010-0000-0000-000004000000}" name="PM"/>
    <tableColumn id="5" xr3:uid="{00000000-0010-0000-0000-000005000000}" name="Contract to Date" dataDxfId="54" dataCellStyle="Currency">
      <calculatedColumnFormula>VLOOKUP($B2,'Foundation Inport'!$A$2:$H$10,3,FALSE)</calculatedColumnFormula>
    </tableColumn>
    <tableColumn id="6" xr3:uid="{00000000-0010-0000-0000-000006000000}" name="Billed to Date" dataDxfId="53" dataCellStyle="Currency">
      <calculatedColumnFormula>IF(VLOOKUP($B2,'Foundation Inport'!$A$2:$H$592,4,FALSE)&gt;0,VLOOKUP($B2,'Foundation Inport'!$A$2:$H$592,4,FALSE),0)</calculatedColumnFormula>
    </tableColumn>
    <tableColumn id="7" xr3:uid="{00000000-0010-0000-0000-000007000000}" name="Remaining Billings" dataDxfId="52">
      <calculatedColumnFormula>E2-F2</calculatedColumnFormula>
    </tableColumn>
    <tableColumn id="10" xr3:uid="{00000000-0010-0000-0000-00000A000000}" name="Mar-26" dataDxfId="51" dataCellStyle="Currency"/>
    <tableColumn id="11" xr3:uid="{00000000-0010-0000-0000-00000B000000}" name="Apr-26" dataDxfId="50" dataCellStyle="Currency"/>
    <tableColumn id="13" xr3:uid="{00000000-0010-0000-0000-00000D000000}" name="May-26" dataDxfId="49" dataCellStyle="Currency"/>
    <tableColumn id="14" xr3:uid="{00000000-0010-0000-0000-00000E000000}" name="Jun-26" dataDxfId="48" dataCellStyle="Currency"/>
    <tableColumn id="15" xr3:uid="{00000000-0010-0000-0000-00000F000000}" name="Jul-26" dataDxfId="47" dataCellStyle="Currency"/>
    <tableColumn id="16" xr3:uid="{00000000-0010-0000-0000-000010000000}" name="Aug-26" dataDxfId="46" dataCellStyle="Currency"/>
    <tableColumn id="17" xr3:uid="{00000000-0010-0000-0000-000011000000}" name="Sep-26" dataDxfId="45" dataCellStyle="Currency"/>
    <tableColumn id="18" xr3:uid="{00000000-0010-0000-0000-000012000000}" name="Oct-26" dataDxfId="44" dataCellStyle="Currency"/>
    <tableColumn id="19" xr3:uid="{00000000-0010-0000-0000-000013000000}" name="Nov-26" dataDxfId="43" dataCellStyle="Currency"/>
    <tableColumn id="20" xr3:uid="{00000000-0010-0000-0000-000014000000}" name="Dec-26" dataDxfId="42" dataCellStyle="Currency"/>
    <tableColumn id="26" xr3:uid="{00000000-0010-0000-0000-00001A000000}" name="Zero Balance" dataDxfId="41">
      <calculatedColumnFormula>G2-SUM(H2:Q2)</calculatedColumnFormula>
    </tableColumn>
    <tableColumn id="12" xr3:uid="{00000000-0010-0000-0000-00000C000000}" name="Notes" dataDxfId="40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56" displayName="Table156" ref="A3:J4" totalsRowShown="0" headerRowDxfId="39">
  <autoFilter ref="A3:J4" xr:uid="{00000000-0009-0000-0100-000002000000}"/>
  <tableColumns count="10">
    <tableColumn id="2" xr3:uid="{00000000-0010-0000-0100-000002000000}" name="Mar-26" dataDxfId="38">
      <calculatedColumnFormula>SUM('Active Jobs Sheet'!H2:H77)</calculatedColumnFormula>
    </tableColumn>
    <tableColumn id="3" xr3:uid="{00000000-0010-0000-0100-000003000000}" name="Apr-26" dataDxfId="37">
      <calculatedColumnFormula>SUM('Active Jobs Sheet'!I2:I77)</calculatedColumnFormula>
    </tableColumn>
    <tableColumn id="4" xr3:uid="{00000000-0010-0000-0100-000004000000}" name="May-26" dataDxfId="36">
      <calculatedColumnFormula>SUM('Active Jobs Sheet'!J2:J77)</calculatedColumnFormula>
    </tableColumn>
    <tableColumn id="5" xr3:uid="{00000000-0010-0000-0100-000005000000}" name="Jun-26" dataDxfId="35">
      <calculatedColumnFormula>SUM('Active Jobs Sheet'!K2:K77)</calculatedColumnFormula>
    </tableColumn>
    <tableColumn id="6" xr3:uid="{00000000-0010-0000-0100-000006000000}" name="Jul-26" dataDxfId="34">
      <calculatedColumnFormula>SUM('Active Jobs Sheet'!L2:L77)</calculatedColumnFormula>
    </tableColumn>
    <tableColumn id="7" xr3:uid="{00000000-0010-0000-0100-000007000000}" name="Aug-26" dataDxfId="33">
      <calculatedColumnFormula>SUM('Active Jobs Sheet'!M2:M77)</calculatedColumnFormula>
    </tableColumn>
    <tableColumn id="8" xr3:uid="{00000000-0010-0000-0100-000008000000}" name="Sep-26" dataDxfId="32">
      <calculatedColumnFormula>SUM('Active Jobs Sheet'!N2:N77)</calculatedColumnFormula>
    </tableColumn>
    <tableColumn id="9" xr3:uid="{00000000-0010-0000-0100-000009000000}" name="Oct-26" dataDxfId="31">
      <calculatedColumnFormula>SUM('Active Jobs Sheet'!O2:O77)</calculatedColumnFormula>
    </tableColumn>
    <tableColumn id="10" xr3:uid="{00000000-0010-0000-0100-00000A000000}" name="Nov-26" dataDxfId="30">
      <calculatedColumnFormula>SUM('Active Jobs Sheet'!P2:P77)</calculatedColumnFormula>
    </tableColumn>
    <tableColumn id="11" xr3:uid="{00000000-0010-0000-0100-00000B000000}" name="Dec-26" dataDxfId="29">
      <calculatedColumnFormula>SUM('Active Jobs Sheet'!Q2:Q77)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3:J4" totalsRowShown="0" headerRowDxfId="28">
  <autoFilter ref="A3:J4" xr:uid="{00000000-0009-0000-0100-000003000000}"/>
  <tableColumns count="10">
    <tableColumn id="2" xr3:uid="{00000000-0010-0000-0200-000002000000}" name="Mar-26" dataDxfId="27">
      <calculatedColumnFormula>SUMIF('Active Jobs Sheet'!$A$2:$A$75,"CBUS",('Active Jobs Sheet'!H2:H77))</calculatedColumnFormula>
    </tableColumn>
    <tableColumn id="3" xr3:uid="{00000000-0010-0000-0200-000003000000}" name="Apr-26" dataDxfId="26">
      <calculatedColumnFormula>SUMIF('Active Jobs Sheet'!$A$2:$A$75,"CBUS",('Active Jobs Sheet'!I2:I77))</calculatedColumnFormula>
    </tableColumn>
    <tableColumn id="4" xr3:uid="{00000000-0010-0000-0200-000004000000}" name="May-26" dataDxfId="25">
      <calculatedColumnFormula>SUMIF('Active Jobs Sheet'!$A$2:$A$75,"CBUS",('Active Jobs Sheet'!J2:J77))</calculatedColumnFormula>
    </tableColumn>
    <tableColumn id="5" xr3:uid="{00000000-0010-0000-0200-000005000000}" name="Jun-26" dataDxfId="24">
      <calculatedColumnFormula>SUMIF('Active Jobs Sheet'!$A$2:$A$75,"CBUS",('Active Jobs Sheet'!K2:K77))</calculatedColumnFormula>
    </tableColumn>
    <tableColumn id="6" xr3:uid="{00000000-0010-0000-0200-000006000000}" name="Jul-26" dataDxfId="23">
      <calculatedColumnFormula>SUMIF('Active Jobs Sheet'!$A$2:$A$75,"CBUS",('Active Jobs Sheet'!L2:L77))</calculatedColumnFormula>
    </tableColumn>
    <tableColumn id="7" xr3:uid="{00000000-0010-0000-0200-000007000000}" name="Aug-26" dataDxfId="22">
      <calculatedColumnFormula>SUMIF('Active Jobs Sheet'!$A$2:$A$75,"CBUS",('Active Jobs Sheet'!M2:M77))</calculatedColumnFormula>
    </tableColumn>
    <tableColumn id="8" xr3:uid="{00000000-0010-0000-0200-000008000000}" name="Sep-26" dataDxfId="21">
      <calculatedColumnFormula>SUMIF('Active Jobs Sheet'!$A$2:$A$75,"CBUS",('Active Jobs Sheet'!N2:N77))</calculatedColumnFormula>
    </tableColumn>
    <tableColumn id="9" xr3:uid="{00000000-0010-0000-0200-000009000000}" name="Oct-26" dataDxfId="20">
      <calculatedColumnFormula>SUMIF('Active Jobs Sheet'!$A$2:$A$75,"CBUS",('Active Jobs Sheet'!O2:O77))</calculatedColumnFormula>
    </tableColumn>
    <tableColumn id="10" xr3:uid="{00000000-0010-0000-0200-00000A000000}" name="Nov-26" dataDxfId="19">
      <calculatedColumnFormula>SUMIF('Active Jobs Sheet'!$A$2:$A$75,"CBUS",('Active Jobs Sheet'!P2:P77))</calculatedColumnFormula>
    </tableColumn>
    <tableColumn id="11" xr3:uid="{00000000-0010-0000-0200-00000B000000}" name="Dec-26" dataDxfId="18">
      <calculatedColumnFormula>SUMIF('Active Jobs Sheet'!$A$2:$A$75,"CBUS",('Active Jobs Sheet'!Q2:Q77))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A3:J4" totalsRowShown="0" headerRowDxfId="17">
  <autoFilter ref="A3:J4" xr:uid="{00000000-0009-0000-0100-000004000000}"/>
  <tableColumns count="10">
    <tableColumn id="2" xr3:uid="{00000000-0010-0000-0300-000002000000}" name="Mar-26" dataDxfId="16">
      <calculatedColumnFormula>SUMIF('Active Jobs Sheet'!$A$2:$A$75,"CLE",('Active Jobs Sheet'!H2:H77))</calculatedColumnFormula>
    </tableColumn>
    <tableColumn id="3" xr3:uid="{00000000-0010-0000-0300-000003000000}" name="Apr-26" dataDxfId="15">
      <calculatedColumnFormula>SUMIF('Active Jobs Sheet'!$A$2:$A$75,"CLE",('Active Jobs Sheet'!I2:I77))</calculatedColumnFormula>
    </tableColumn>
    <tableColumn id="4" xr3:uid="{00000000-0010-0000-0300-000004000000}" name="May-26" dataDxfId="14">
      <calculatedColumnFormula>SUMIF('Active Jobs Sheet'!$A$2:$A$75,"CLE",('Active Jobs Sheet'!J2:J77))</calculatedColumnFormula>
    </tableColumn>
    <tableColumn id="5" xr3:uid="{00000000-0010-0000-0300-000005000000}" name="Jun-26" dataDxfId="13">
      <calculatedColumnFormula>SUMIF('Active Jobs Sheet'!$A$2:$A$75,"CLE",('Active Jobs Sheet'!K2:K77))</calculatedColumnFormula>
    </tableColumn>
    <tableColumn id="6" xr3:uid="{00000000-0010-0000-0300-000006000000}" name="Jul-26" dataDxfId="12">
      <calculatedColumnFormula>SUMIF('Active Jobs Sheet'!$A$2:$A$75,"CLE",('Active Jobs Sheet'!L2:L77))</calculatedColumnFormula>
    </tableColumn>
    <tableColumn id="7" xr3:uid="{00000000-0010-0000-0300-000007000000}" name="Aug-26" dataDxfId="11">
      <calculatedColumnFormula>SUMIF('Active Jobs Sheet'!$A$2:$A$75,"CLE",('Active Jobs Sheet'!M2:M77))</calculatedColumnFormula>
    </tableColumn>
    <tableColumn id="8" xr3:uid="{00000000-0010-0000-0300-000008000000}" name="Sep-26" dataDxfId="10">
      <calculatedColumnFormula>SUMIF('Active Jobs Sheet'!$A$2:$A$75,"CLE",('Active Jobs Sheet'!N2:N77))</calculatedColumnFormula>
    </tableColumn>
    <tableColumn id="9" xr3:uid="{00000000-0010-0000-0300-000009000000}" name="Oct-26" dataDxfId="9">
      <calculatedColumnFormula>SUMIF('Active Jobs Sheet'!$A$2:$A$75,"CLE",('Active Jobs Sheet'!O2:O77))</calculatedColumnFormula>
    </tableColumn>
    <tableColumn id="10" xr3:uid="{00000000-0010-0000-0300-00000A000000}" name="Nov-26" dataDxfId="8">
      <calculatedColumnFormula>SUMIF('Active Jobs Sheet'!$A$2:$A$75,"CLE",('Active Jobs Sheet'!P2:P77))</calculatedColumnFormula>
    </tableColumn>
    <tableColumn id="11" xr3:uid="{00000000-0010-0000-0300-00000B000000}" name="Dec-26" dataDxfId="7">
      <calculatedColumnFormula>SUMIF('Active Jobs Sheet'!$A$2:$A$75,"CLE",('Active Jobs Sheet'!Q2:Q77))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1:B2" totalsRowShown="0" headerRowDxfId="6" dataDxfId="5">
  <autoFilter ref="A1:B2" xr:uid="{00000000-0009-0000-0100-000005000000}"/>
  <tableColumns count="2">
    <tableColumn id="2" xr3:uid="{00000000-0010-0000-0400-000002000000}" name="2025" dataDxfId="4">
      <calculatedColumnFormula>G2</calculatedColumnFormula>
    </tableColumn>
    <tableColumn id="1" xr3:uid="{00000000-0010-0000-0400-000001000000}" name="2026" dataDxfId="3">
      <calculatedColumnFormula>SUM('Active Jobs Sheet'!H2:Q77)+H2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D73" totalsRowShown="0" headerRowDxfId="2">
  <autoFilter ref="A1:D73" xr:uid="{00000000-0009-0000-0100-000006000000}"/>
  <sortState xmlns:xlrd2="http://schemas.microsoft.com/office/spreadsheetml/2017/richdata2" ref="A2:D36">
    <sortCondition ref="A1:A36"/>
  </sortState>
  <tableColumns count="4">
    <tableColumn id="1" xr3:uid="{00000000-0010-0000-0500-000001000000}" name="Job No"/>
    <tableColumn id="2" xr3:uid="{00000000-0010-0000-0500-000002000000}" name="Job Description"/>
    <tableColumn id="3" xr3:uid="{00000000-0010-0000-0500-000003000000}" name="Revised Contract" dataDxfId="1" dataCellStyle="Currency"/>
    <tableColumn id="4" xr3:uid="{00000000-0010-0000-0500-000004000000}" name="Billings" dataDxfId="0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8"/>
  <sheetViews>
    <sheetView tabSelected="1" topLeftCell="D1" zoomScale="70" zoomScaleNormal="70" workbookViewId="0">
      <pane ySplit="1" topLeftCell="A23" activePane="bottomLeft" state="frozen"/>
      <selection pane="bottomLeft" activeCell="I40" sqref="I40"/>
    </sheetView>
  </sheetViews>
  <sheetFormatPr defaultRowHeight="14.5" x14ac:dyDescent="0.35"/>
  <cols>
    <col min="2" max="2" width="11.26953125" customWidth="1"/>
    <col min="3" max="3" width="33.7265625" bestFit="1" customWidth="1"/>
    <col min="4" max="4" width="15.453125" bestFit="1" customWidth="1"/>
    <col min="5" max="5" width="23.54296875" customWidth="1"/>
    <col min="6" max="6" width="22.54296875" customWidth="1"/>
    <col min="7" max="7" width="23.81640625" customWidth="1"/>
    <col min="8" max="8" width="17.7265625" bestFit="1" customWidth="1"/>
    <col min="9" max="9" width="16.26953125" bestFit="1" customWidth="1"/>
    <col min="10" max="10" width="16.81640625" bestFit="1" customWidth="1"/>
    <col min="11" max="11" width="16.453125" bestFit="1" customWidth="1"/>
    <col min="12" max="12" width="16.7265625" bestFit="1" customWidth="1"/>
    <col min="13" max="14" width="16.81640625" bestFit="1" customWidth="1"/>
    <col min="15" max="15" width="16.453125" bestFit="1" customWidth="1"/>
    <col min="16" max="16" width="16.7265625" bestFit="1" customWidth="1"/>
    <col min="17" max="17" width="16.81640625" bestFit="1" customWidth="1"/>
    <col min="18" max="18" width="16.26953125" customWidth="1"/>
    <col min="19" max="19" width="27.269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3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36</v>
      </c>
      <c r="E2" s="4">
        <f>VLOOKUP($B2,'Foundation Inport'!$A$2:$H$52,3,FALSE)</f>
        <v>309888.75</v>
      </c>
      <c r="F2" s="4">
        <f>IF(VLOOKUP($B2,'Foundation Inport'!$A$2:$H$592,4,FALSE)&gt;0,VLOOKUP($B2,'Foundation Inport'!$A$2:$H$592,4,FALSE),0)</f>
        <v>266144.90000000002</v>
      </c>
      <c r="G2" s="5">
        <f t="shared" ref="G2:G20" si="0">E2-F2</f>
        <v>43743.849999999977</v>
      </c>
      <c r="H2" s="17">
        <v>14932.5</v>
      </c>
      <c r="I2" s="4">
        <v>28811.35</v>
      </c>
      <c r="J2" s="4"/>
      <c r="K2" s="4"/>
      <c r="L2" s="4"/>
      <c r="M2" s="4"/>
      <c r="N2" s="4"/>
      <c r="O2" s="4"/>
      <c r="P2" s="4"/>
      <c r="Q2" s="4"/>
      <c r="R2" s="5">
        <f t="shared" ref="R2:R20" si="1">G2-SUM(H2:Q2)</f>
        <v>0</v>
      </c>
      <c r="S2" s="4"/>
    </row>
    <row r="3" spans="1:19" x14ac:dyDescent="0.35">
      <c r="A3" t="s">
        <v>23</v>
      </c>
      <c r="B3" t="s">
        <v>24</v>
      </c>
      <c r="C3" t="s">
        <v>25</v>
      </c>
      <c r="D3" t="s">
        <v>26</v>
      </c>
      <c r="E3" s="4">
        <f>VLOOKUP($B3,'Foundation Inport'!$A$2:$H$10,3,FALSE)</f>
        <v>637845.28</v>
      </c>
      <c r="F3" s="4">
        <f>IF(VLOOKUP($B3,'Foundation Inport'!$A$2:$H$592,4,FALSE)&gt;0,VLOOKUP($B3,'Foundation Inport'!$A$2:$H$592,4,FALSE),0)</f>
        <v>637845.28</v>
      </c>
      <c r="G3" s="5">
        <f t="shared" si="0"/>
        <v>0</v>
      </c>
      <c r="H3" s="17"/>
      <c r="I3" s="4"/>
      <c r="J3" s="4"/>
      <c r="K3" s="4"/>
      <c r="L3" s="4"/>
      <c r="M3" s="4"/>
      <c r="N3" s="4"/>
      <c r="O3" s="4"/>
      <c r="P3" s="4"/>
      <c r="Q3" s="4"/>
      <c r="R3" s="5">
        <f t="shared" si="1"/>
        <v>0</v>
      </c>
      <c r="S3" s="4"/>
    </row>
    <row r="4" spans="1:19" x14ac:dyDescent="0.35">
      <c r="A4" t="s">
        <v>23</v>
      </c>
      <c r="B4" t="s">
        <v>27</v>
      </c>
      <c r="C4" t="s">
        <v>28</v>
      </c>
      <c r="D4" t="s">
        <v>26</v>
      </c>
      <c r="E4" s="4">
        <f>VLOOKUP($B4,'Foundation Inport'!$A$2:$H$10,3,FALSE)</f>
        <v>416108.63</v>
      </c>
      <c r="F4" s="4">
        <f>IF(VLOOKUP($B4,'Foundation Inport'!$A$2:$H$592,4,FALSE)&gt;0,VLOOKUP($B4,'Foundation Inport'!$A$2:$H$592,4,FALSE),0)</f>
        <v>416108.63</v>
      </c>
      <c r="G4" s="5">
        <f t="shared" si="0"/>
        <v>0</v>
      </c>
      <c r="H4" s="17"/>
      <c r="I4" s="4"/>
      <c r="J4" s="4"/>
      <c r="K4" s="4"/>
      <c r="L4" s="4"/>
      <c r="M4" s="4"/>
      <c r="N4" s="4"/>
      <c r="O4" s="4"/>
      <c r="P4" s="4"/>
      <c r="Q4" s="4"/>
      <c r="R4" s="5">
        <f t="shared" si="1"/>
        <v>0</v>
      </c>
      <c r="S4" s="4"/>
    </row>
    <row r="5" spans="1:19" x14ac:dyDescent="0.35">
      <c r="A5" t="s">
        <v>23</v>
      </c>
      <c r="B5" t="s">
        <v>29</v>
      </c>
      <c r="C5" t="s">
        <v>30</v>
      </c>
      <c r="D5" t="s">
        <v>26</v>
      </c>
      <c r="E5" s="4">
        <f>VLOOKUP($B5,'Foundation Inport'!$A$2:$H$10,3,FALSE)</f>
        <v>655214.82999999996</v>
      </c>
      <c r="F5" s="4">
        <f>IF(VLOOKUP($B5,'Foundation Inport'!$A$2:$H$592,4,FALSE)&gt;0,VLOOKUP($B5,'Foundation Inport'!$A$2:$H$592,4,FALSE),0)</f>
        <v>499895.2</v>
      </c>
      <c r="G5" s="5">
        <f t="shared" si="0"/>
        <v>155319.62999999995</v>
      </c>
      <c r="H5" s="17">
        <v>143444.88</v>
      </c>
      <c r="I5" s="4">
        <v>11874.75</v>
      </c>
      <c r="J5" s="4"/>
      <c r="K5" s="4"/>
      <c r="L5" s="4"/>
      <c r="M5" s="4"/>
      <c r="N5" s="4"/>
      <c r="O5" s="4"/>
      <c r="P5" s="4"/>
      <c r="Q5" s="4"/>
      <c r="R5" s="5">
        <f t="shared" si="1"/>
        <v>0</v>
      </c>
      <c r="S5" s="4"/>
    </row>
    <row r="6" spans="1:19" x14ac:dyDescent="0.35">
      <c r="A6" t="s">
        <v>19</v>
      </c>
      <c r="B6" t="s">
        <v>31</v>
      </c>
      <c r="C6" t="s">
        <v>32</v>
      </c>
      <c r="D6" t="s">
        <v>33</v>
      </c>
      <c r="E6" s="4">
        <f>VLOOKUP($B6,'Foundation Inport'!$A$2:$H$10,3,FALSE)</f>
        <v>81936.5</v>
      </c>
      <c r="F6" s="4">
        <f>IF(VLOOKUP($B6,'Foundation Inport'!$A$2:$H$592,4,FALSE)&gt;0,VLOOKUP($B6,'Foundation Inport'!$A$2:$H$592,4,FALSE),0)</f>
        <v>81936.5</v>
      </c>
      <c r="G6" s="5">
        <f t="shared" si="0"/>
        <v>0</v>
      </c>
      <c r="H6" s="17"/>
      <c r="I6" s="4"/>
      <c r="J6" s="4"/>
      <c r="K6" s="4"/>
      <c r="L6" s="4"/>
      <c r="M6" s="4"/>
      <c r="N6" s="4"/>
      <c r="O6" s="4"/>
      <c r="P6" s="4"/>
      <c r="Q6" s="4"/>
      <c r="R6" s="5">
        <f t="shared" si="1"/>
        <v>0</v>
      </c>
      <c r="S6" s="4"/>
    </row>
    <row r="7" spans="1:19" x14ac:dyDescent="0.35">
      <c r="A7" t="s">
        <v>23</v>
      </c>
      <c r="B7" t="s">
        <v>34</v>
      </c>
      <c r="C7" t="s">
        <v>35</v>
      </c>
      <c r="D7" t="s">
        <v>36</v>
      </c>
      <c r="E7" s="4">
        <f>VLOOKUP($B7,'Foundation Inport'!$A$2:$H$10,3,FALSE)</f>
        <v>1438021.29</v>
      </c>
      <c r="F7" s="4">
        <f>IF(VLOOKUP($B7,'Foundation Inport'!$A$2:$H$592,4,FALSE)&gt;0,VLOOKUP($B7,'Foundation Inport'!$A$2:$H$592,4,FALSE),0)</f>
        <v>1416391.29</v>
      </c>
      <c r="G7" s="5">
        <f t="shared" si="0"/>
        <v>21630</v>
      </c>
      <c r="H7" s="17"/>
      <c r="I7" s="4">
        <v>21630</v>
      </c>
      <c r="J7" s="4"/>
      <c r="K7" s="4"/>
      <c r="L7" s="4"/>
      <c r="M7" s="4"/>
      <c r="N7" s="4"/>
      <c r="O7" s="4"/>
      <c r="P7" s="4"/>
      <c r="Q7" s="4"/>
      <c r="R7" s="5">
        <f t="shared" si="1"/>
        <v>0</v>
      </c>
      <c r="S7" s="4"/>
    </row>
    <row r="8" spans="1:19" x14ac:dyDescent="0.35">
      <c r="A8" t="s">
        <v>23</v>
      </c>
      <c r="B8" t="s">
        <v>37</v>
      </c>
      <c r="C8" t="s">
        <v>38</v>
      </c>
      <c r="D8" t="s">
        <v>26</v>
      </c>
      <c r="E8" s="4">
        <f>VLOOKUP($B8,'Foundation Inport'!$A$2:$H$10,3,FALSE)</f>
        <v>196562</v>
      </c>
      <c r="F8" s="4">
        <f>IF(VLOOKUP($B8,'Foundation Inport'!$A$2:$H$592,4,FALSE)&gt;0,VLOOKUP($B8,'Foundation Inport'!$A$2:$H$592,4,FALSE),0)</f>
        <v>155550</v>
      </c>
      <c r="G8" s="5">
        <f t="shared" si="0"/>
        <v>41012</v>
      </c>
      <c r="H8" s="17">
        <v>23150</v>
      </c>
      <c r="I8" s="4">
        <v>17862</v>
      </c>
      <c r="J8" s="4"/>
      <c r="K8" s="4"/>
      <c r="L8" s="4"/>
      <c r="M8" s="4"/>
      <c r="N8" s="4"/>
      <c r="O8" s="4"/>
      <c r="P8" s="4"/>
      <c r="Q8" s="4"/>
      <c r="R8" s="5">
        <f t="shared" si="1"/>
        <v>0</v>
      </c>
      <c r="S8" s="4"/>
    </row>
    <row r="9" spans="1:19" x14ac:dyDescent="0.35">
      <c r="A9" t="s">
        <v>19</v>
      </c>
      <c r="B9" t="s">
        <v>39</v>
      </c>
      <c r="C9" t="s">
        <v>40</v>
      </c>
      <c r="D9" t="s">
        <v>41</v>
      </c>
      <c r="E9" s="4">
        <f>VLOOKUP($B9,'Foundation Inport'!$A$2:$H$10,3,FALSE)</f>
        <v>1949570.45</v>
      </c>
      <c r="F9" s="4">
        <f>IF(VLOOKUP($B9,'Foundation Inport'!$A$2:$H$592,4,FALSE)&gt;0,VLOOKUP($B9,'Foundation Inport'!$A$2:$H$592,4,FALSE),0)</f>
        <v>1499798.88</v>
      </c>
      <c r="G9" s="5">
        <f t="shared" si="0"/>
        <v>449771.57000000007</v>
      </c>
      <c r="H9" s="17">
        <v>79387.539999999994</v>
      </c>
      <c r="I9" s="4">
        <v>60000</v>
      </c>
      <c r="J9" s="4">
        <v>100000</v>
      </c>
      <c r="K9" s="4">
        <v>210384.03</v>
      </c>
      <c r="L9" s="4"/>
      <c r="M9" s="4"/>
      <c r="N9" s="4"/>
      <c r="O9" s="4"/>
      <c r="P9" s="4"/>
      <c r="Q9" s="4"/>
      <c r="R9" s="5">
        <f t="shared" si="1"/>
        <v>0</v>
      </c>
      <c r="S9" s="4"/>
    </row>
    <row r="10" spans="1:19" x14ac:dyDescent="0.35">
      <c r="A10" t="s">
        <v>19</v>
      </c>
      <c r="B10" t="s">
        <v>42</v>
      </c>
      <c r="C10" t="s">
        <v>43</v>
      </c>
      <c r="D10" t="s">
        <v>41</v>
      </c>
      <c r="E10" s="4">
        <f>VLOOKUP($B10,'Foundation Inport'!$A$2:$H$13,3,FALSE)</f>
        <v>75507.600000000006</v>
      </c>
      <c r="F10" s="4">
        <f>IF(VLOOKUP($B10,'Foundation Inport'!$A$2:$H$592,4,FALSE)&gt;0,VLOOKUP($B10,'Foundation Inport'!$A$2:$H$592,4,FALSE),0)</f>
        <v>46635.09</v>
      </c>
      <c r="G10" s="5">
        <f t="shared" si="0"/>
        <v>28872.510000000009</v>
      </c>
      <c r="H10" s="17"/>
      <c r="I10" s="4">
        <v>28872.51</v>
      </c>
      <c r="J10" s="4"/>
      <c r="K10" s="4"/>
      <c r="L10" s="4"/>
      <c r="M10" s="4"/>
      <c r="N10" s="4"/>
      <c r="O10" s="4"/>
      <c r="P10" s="4"/>
      <c r="Q10" s="4"/>
      <c r="R10" s="5">
        <f t="shared" si="1"/>
        <v>0</v>
      </c>
      <c r="S10" s="4"/>
    </row>
    <row r="11" spans="1:19" x14ac:dyDescent="0.35">
      <c r="A11" t="s">
        <v>19</v>
      </c>
      <c r="B11" t="s">
        <v>44</v>
      </c>
      <c r="C11" t="s">
        <v>45</v>
      </c>
      <c r="D11" t="s">
        <v>41</v>
      </c>
      <c r="E11" s="4">
        <f>VLOOKUP($B11,'Foundation Inport'!$A$2:$H$13,3,FALSE)</f>
        <v>323945.76</v>
      </c>
      <c r="F11" s="4">
        <f>IF(VLOOKUP($B11,'Foundation Inport'!$A$2:$H$592,4,FALSE)&gt;0,VLOOKUP($B11,'Foundation Inport'!$A$2:$H$592,4,FALSE),0)</f>
        <v>262683.83</v>
      </c>
      <c r="G11" s="5">
        <f t="shared" si="0"/>
        <v>61261.929999999993</v>
      </c>
      <c r="H11" s="17">
        <v>55289.93</v>
      </c>
      <c r="I11" s="4">
        <v>5972</v>
      </c>
      <c r="J11" s="4"/>
      <c r="K11" s="4"/>
      <c r="L11" s="4"/>
      <c r="M11" s="4"/>
      <c r="N11" s="4"/>
      <c r="O11" s="4"/>
      <c r="P11" s="4"/>
      <c r="Q11" s="4"/>
      <c r="R11" s="5">
        <f t="shared" si="1"/>
        <v>0</v>
      </c>
      <c r="S11" s="4"/>
    </row>
    <row r="12" spans="1:19" x14ac:dyDescent="0.35">
      <c r="A12" t="s">
        <v>23</v>
      </c>
      <c r="B12" t="s">
        <v>46</v>
      </c>
      <c r="C12" t="s">
        <v>47</v>
      </c>
      <c r="D12" t="s">
        <v>26</v>
      </c>
      <c r="E12" s="4">
        <f>VLOOKUP($B12,'Foundation Inport'!$A$2:$H$13,3,FALSE)</f>
        <v>1010713.77</v>
      </c>
      <c r="F12" s="4">
        <f>IF(VLOOKUP($B12,'Foundation Inport'!$A$2:$H$592,4,FALSE)&gt;0,VLOOKUP($B12,'Foundation Inport'!$A$2:$H$592,4,FALSE),0)</f>
        <v>765217.42</v>
      </c>
      <c r="G12" s="5">
        <f t="shared" si="0"/>
        <v>245496.34999999998</v>
      </c>
      <c r="H12" s="17"/>
      <c r="I12" s="4">
        <v>177759.35</v>
      </c>
      <c r="J12" s="4">
        <v>30000</v>
      </c>
      <c r="K12" s="4">
        <v>37737</v>
      </c>
      <c r="L12" s="4"/>
      <c r="M12" s="4"/>
      <c r="N12" s="4"/>
      <c r="O12" s="4"/>
      <c r="P12" s="4"/>
      <c r="Q12" s="4"/>
      <c r="R12" s="5">
        <f t="shared" si="1"/>
        <v>0</v>
      </c>
      <c r="S12" s="4"/>
    </row>
    <row r="13" spans="1:19" x14ac:dyDescent="0.35">
      <c r="A13" t="s">
        <v>23</v>
      </c>
      <c r="B13" t="s">
        <v>56</v>
      </c>
      <c r="C13" t="s">
        <v>57</v>
      </c>
      <c r="D13" t="s">
        <v>26</v>
      </c>
      <c r="E13" s="4">
        <f>VLOOKUP($B13,'Foundation Inport'!$A$2:$H$22,3,FALSE)</f>
        <v>113552</v>
      </c>
      <c r="F13" s="4">
        <f>IF(VLOOKUP($B13,'Foundation Inport'!$A$2:$H$592,4,FALSE)&gt;0,VLOOKUP($B13,'Foundation Inport'!$A$2:$H$592,4,FALSE),0)</f>
        <v>37472</v>
      </c>
      <c r="G13" s="5">
        <f t="shared" si="0"/>
        <v>76080</v>
      </c>
      <c r="H13" s="17"/>
      <c r="I13" s="19"/>
      <c r="J13" s="4"/>
      <c r="K13" s="4"/>
      <c r="L13" s="20">
        <v>76080</v>
      </c>
      <c r="M13" s="4"/>
      <c r="N13" s="4"/>
      <c r="O13" s="4"/>
      <c r="P13" s="4"/>
      <c r="Q13" s="4"/>
      <c r="R13" s="5">
        <f t="shared" si="1"/>
        <v>0</v>
      </c>
      <c r="S13" s="4"/>
    </row>
    <row r="14" spans="1:19" x14ac:dyDescent="0.35">
      <c r="A14" t="s">
        <v>23</v>
      </c>
      <c r="B14" t="s">
        <v>58</v>
      </c>
      <c r="C14" t="s">
        <v>59</v>
      </c>
      <c r="D14" t="s">
        <v>26</v>
      </c>
      <c r="E14" s="4">
        <f>VLOOKUP($B14,'Foundation Inport'!$A$2:$H$22,3,FALSE)</f>
        <v>46665</v>
      </c>
      <c r="F14" s="4">
        <f>IF(VLOOKUP($B14,'Foundation Inport'!$A$2:$H$592,4,FALSE)&gt;0,VLOOKUP($B14,'Foundation Inport'!$A$2:$H$592,4,FALSE),0)</f>
        <v>3500</v>
      </c>
      <c r="G14" s="5">
        <f t="shared" si="0"/>
        <v>43165</v>
      </c>
      <c r="H14" s="17">
        <v>38279</v>
      </c>
      <c r="I14" s="4">
        <v>4886</v>
      </c>
      <c r="J14" s="4"/>
      <c r="K14" s="4"/>
      <c r="L14" s="4"/>
      <c r="M14" s="4"/>
      <c r="N14" s="4"/>
      <c r="O14" s="4"/>
      <c r="P14" s="4"/>
      <c r="Q14" s="4"/>
      <c r="R14" s="5">
        <f t="shared" si="1"/>
        <v>0</v>
      </c>
      <c r="S14" s="4"/>
    </row>
    <row r="15" spans="1:19" x14ac:dyDescent="0.35">
      <c r="A15" t="s">
        <v>23</v>
      </c>
      <c r="B15" t="s">
        <v>64</v>
      </c>
      <c r="C15" t="s">
        <v>65</v>
      </c>
      <c r="D15" t="s">
        <v>41</v>
      </c>
      <c r="E15" s="4">
        <f>VLOOKUP($B15,'Foundation Inport'!$A$2:$H$50,3,FALSE)</f>
        <v>663912.15</v>
      </c>
      <c r="F15" s="4">
        <f>IF(VLOOKUP($B15,'Foundation Inport'!$A$2:$H$592,4,FALSE)&gt;0,VLOOKUP($B15,'Foundation Inport'!$A$2:$H$592,4,FALSE),0)</f>
        <v>391727.69</v>
      </c>
      <c r="G15" s="5">
        <f t="shared" si="0"/>
        <v>272184.46000000002</v>
      </c>
      <c r="H15" s="17">
        <v>56499.9</v>
      </c>
      <c r="I15" s="4">
        <v>98062.54</v>
      </c>
      <c r="J15" s="4">
        <v>117622.02</v>
      </c>
      <c r="K15" s="4"/>
      <c r="L15" s="4"/>
      <c r="M15" s="4"/>
      <c r="N15" s="4"/>
      <c r="O15" s="4"/>
      <c r="P15" s="4"/>
      <c r="Q15" s="4"/>
      <c r="R15" s="5">
        <f t="shared" si="1"/>
        <v>0</v>
      </c>
      <c r="S15" s="4"/>
    </row>
    <row r="16" spans="1:19" x14ac:dyDescent="0.35">
      <c r="A16" t="s">
        <v>23</v>
      </c>
      <c r="B16" t="s">
        <v>68</v>
      </c>
      <c r="C16" t="s">
        <v>69</v>
      </c>
      <c r="D16" t="s">
        <v>70</v>
      </c>
      <c r="E16" s="4">
        <f>VLOOKUP($B16,'Foundation Inport'!$A$2:$H$42,3,FALSE)</f>
        <v>4950</v>
      </c>
      <c r="F16" s="4">
        <f>IF(VLOOKUP($B16,'Foundation Inport'!$A$2:$H$592,4,FALSE)&gt;0,VLOOKUP($B16,'Foundation Inport'!$A$2:$H$592,4,FALSE),0)</f>
        <v>4950</v>
      </c>
      <c r="G16" s="5">
        <f t="shared" si="0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5">
        <f t="shared" si="1"/>
        <v>0</v>
      </c>
      <c r="S16" s="4"/>
    </row>
    <row r="17" spans="1:19" x14ac:dyDescent="0.35">
      <c r="A17" t="s">
        <v>23</v>
      </c>
      <c r="B17" t="s">
        <v>71</v>
      </c>
      <c r="C17" t="s">
        <v>72</v>
      </c>
      <c r="D17" t="s">
        <v>41</v>
      </c>
      <c r="E17" s="4">
        <f>VLOOKUP($B17,'Foundation Inport'!$A$2:$H$42,3,FALSE)</f>
        <v>61379</v>
      </c>
      <c r="F17" s="4">
        <f>IF(VLOOKUP($B17,'Foundation Inport'!$A$2:$H$592,4,FALSE)&gt;0,VLOOKUP($B17,'Foundation Inport'!$A$2:$H$592,4,FALSE),0)</f>
        <v>35507.68</v>
      </c>
      <c r="G17" s="5">
        <f t="shared" si="0"/>
        <v>25871.32</v>
      </c>
      <c r="H17" s="4"/>
      <c r="I17" s="4"/>
      <c r="J17" s="4">
        <v>25871.32</v>
      </c>
      <c r="K17" s="4"/>
      <c r="L17" s="4"/>
      <c r="M17" s="4"/>
      <c r="N17" s="4"/>
      <c r="O17" s="4"/>
      <c r="P17" s="4"/>
      <c r="Q17" s="4"/>
      <c r="R17" s="5">
        <f t="shared" si="1"/>
        <v>0</v>
      </c>
      <c r="S17" s="4"/>
    </row>
    <row r="18" spans="1:19" x14ac:dyDescent="0.35">
      <c r="A18" t="s">
        <v>23</v>
      </c>
      <c r="B18" t="s">
        <v>75</v>
      </c>
      <c r="C18" t="s">
        <v>76</v>
      </c>
      <c r="D18" t="s">
        <v>41</v>
      </c>
      <c r="E18" s="4">
        <f>VLOOKUP($B18,'Foundation Inport'!$A$2:$H$50,3,FALSE)</f>
        <v>82389</v>
      </c>
      <c r="F18" s="4">
        <f>IF(VLOOKUP($B18,'Foundation Inport'!$A$2:$H$592,4,FALSE)&gt;0,VLOOKUP($B18,'Foundation Inport'!$A$2:$H$592,4,FALSE),0)</f>
        <v>49639</v>
      </c>
      <c r="G18" s="5">
        <f t="shared" si="0"/>
        <v>32750</v>
      </c>
      <c r="H18" s="17">
        <v>32750</v>
      </c>
      <c r="I18" s="4"/>
      <c r="J18" s="4"/>
      <c r="K18" s="4"/>
      <c r="L18" s="4"/>
      <c r="M18" s="4"/>
      <c r="N18" s="4"/>
      <c r="O18" s="4"/>
      <c r="P18" s="4"/>
      <c r="Q18" s="4"/>
      <c r="R18" s="5">
        <f t="shared" si="1"/>
        <v>0</v>
      </c>
      <c r="S18" s="4"/>
    </row>
    <row r="19" spans="1:19" x14ac:dyDescent="0.35">
      <c r="A19" t="s">
        <v>23</v>
      </c>
      <c r="B19" t="s">
        <v>77</v>
      </c>
      <c r="C19" t="s">
        <v>78</v>
      </c>
      <c r="D19" t="s">
        <v>26</v>
      </c>
      <c r="E19" s="4">
        <f>VLOOKUP($B19,'Foundation Inport'!$A$2:$H$50,3,FALSE)</f>
        <v>44652</v>
      </c>
      <c r="F19" s="4">
        <f>IF(VLOOKUP($B19,'Foundation Inport'!$A$2:$H$592,4,FALSE)&gt;0,VLOOKUP($B19,'Foundation Inport'!$A$2:$H$592,4,FALSE),0)</f>
        <v>37987.75</v>
      </c>
      <c r="G19" s="5">
        <f t="shared" si="0"/>
        <v>6664.25</v>
      </c>
      <c r="H19" s="17">
        <v>5054.75</v>
      </c>
      <c r="I19" s="4">
        <v>1609.5</v>
      </c>
      <c r="J19" s="4"/>
      <c r="K19" s="4"/>
      <c r="L19" s="4"/>
      <c r="M19" s="4"/>
      <c r="N19" s="4"/>
      <c r="O19" s="4"/>
      <c r="P19" s="4"/>
      <c r="Q19" s="4"/>
      <c r="R19" s="5">
        <f t="shared" si="1"/>
        <v>0</v>
      </c>
      <c r="S19" s="4"/>
    </row>
    <row r="20" spans="1:19" x14ac:dyDescent="0.35">
      <c r="A20" t="s">
        <v>23</v>
      </c>
      <c r="B20" t="s">
        <v>81</v>
      </c>
      <c r="C20" t="s">
        <v>82</v>
      </c>
      <c r="D20" t="s">
        <v>41</v>
      </c>
      <c r="E20" s="4">
        <f>VLOOKUP($B20,'Foundation Inport'!$A$2:$H$42,3,FALSE)</f>
        <v>189316</v>
      </c>
      <c r="F20" s="4">
        <f>IF(VLOOKUP($B20,'Foundation Inport'!$A$2:$H$592,4,FALSE)&gt;0,VLOOKUP($B20,'Foundation Inport'!$A$2:$H$592,4,FALSE),0)</f>
        <v>161095</v>
      </c>
      <c r="G20" s="5">
        <f t="shared" si="0"/>
        <v>28221</v>
      </c>
      <c r="H20" s="17">
        <v>23829</v>
      </c>
      <c r="I20" s="4">
        <v>4392</v>
      </c>
      <c r="J20" s="4"/>
      <c r="K20" s="4"/>
      <c r="L20" s="4"/>
      <c r="M20" s="4"/>
      <c r="N20" s="4"/>
      <c r="O20" s="4"/>
      <c r="P20" s="4"/>
      <c r="Q20" s="4"/>
      <c r="R20" s="5">
        <f t="shared" si="1"/>
        <v>0</v>
      </c>
      <c r="S20" s="4"/>
    </row>
    <row r="21" spans="1:19" x14ac:dyDescent="0.35">
      <c r="A21" s="11" t="s">
        <v>19</v>
      </c>
      <c r="B21" s="11" t="s">
        <v>87</v>
      </c>
      <c r="C21" s="11" t="s">
        <v>88</v>
      </c>
      <c r="D21" s="11" t="s">
        <v>26</v>
      </c>
      <c r="E21" s="13">
        <f>VLOOKUP($B21,'Foundation Inport'!$A$2:$H$52,3,FALSE)</f>
        <v>171150</v>
      </c>
      <c r="F21" s="13">
        <f>IF(VLOOKUP($B21,'Foundation Inport'!$A$2:$H$592,4,FALSE)&gt;0,VLOOKUP($B21,'Foundation Inport'!$A$2:$H$592,4,FALSE),0)</f>
        <v>72943</v>
      </c>
      <c r="G21" s="14">
        <f t="shared" ref="G21:G45" si="2">E21-F21</f>
        <v>98207</v>
      </c>
      <c r="H21" s="13"/>
      <c r="I21" s="13">
        <v>89000</v>
      </c>
      <c r="J21" s="13">
        <v>9207</v>
      </c>
      <c r="K21" s="13"/>
      <c r="L21" s="13"/>
      <c r="M21" s="13"/>
      <c r="N21" s="13"/>
      <c r="O21" s="13"/>
      <c r="P21" s="13"/>
      <c r="Q21" s="13"/>
      <c r="R21" s="5">
        <f t="shared" ref="R21:R45" si="3">G21-SUM(H21:Q21)</f>
        <v>0</v>
      </c>
      <c r="S21" s="4"/>
    </row>
    <row r="22" spans="1:19" x14ac:dyDescent="0.35">
      <c r="A22" s="11" t="s">
        <v>19</v>
      </c>
      <c r="B22" s="11" t="s">
        <v>92</v>
      </c>
      <c r="C22" s="11" t="s">
        <v>93</v>
      </c>
      <c r="D22" s="11" t="s">
        <v>33</v>
      </c>
      <c r="E22" s="13">
        <f>VLOOKUP($B22,'Foundation Inport'!$A$2:$H$52,3,FALSE)</f>
        <v>25250</v>
      </c>
      <c r="F22" s="13">
        <f>IF(VLOOKUP($B22,'Foundation Inport'!$A$2:$H$592,4,FALSE)&gt;0,VLOOKUP($B22,'Foundation Inport'!$A$2:$H$592,4,FALSE),0)</f>
        <v>5000</v>
      </c>
      <c r="G22" s="14">
        <f t="shared" si="2"/>
        <v>20250</v>
      </c>
      <c r="H22" s="18">
        <v>19800</v>
      </c>
      <c r="I22" s="13">
        <v>450</v>
      </c>
      <c r="J22" s="13"/>
      <c r="K22" s="13"/>
      <c r="L22" s="13"/>
      <c r="M22" s="13"/>
      <c r="N22" s="13"/>
      <c r="O22" s="13"/>
      <c r="P22" s="13"/>
      <c r="Q22" s="13"/>
      <c r="R22" s="5">
        <f t="shared" si="3"/>
        <v>0</v>
      </c>
      <c r="S22" s="4"/>
    </row>
    <row r="23" spans="1:19" x14ac:dyDescent="0.35">
      <c r="A23" s="6" t="s">
        <v>19</v>
      </c>
      <c r="B23" s="6" t="s">
        <v>94</v>
      </c>
      <c r="C23" s="6" t="s">
        <v>95</v>
      </c>
      <c r="D23" s="6" t="s">
        <v>41</v>
      </c>
      <c r="E23" s="7">
        <f>VLOOKUP($B23,'Foundation Inport'!$A$2:$H$52,3,FALSE)</f>
        <v>159220</v>
      </c>
      <c r="F23" s="7">
        <f>IF(VLOOKUP($B23,'Foundation Inport'!$A$2:$H$592,4,FALSE)&gt;0,VLOOKUP($B23,'Foundation Inport'!$A$2:$H$592,4,FALSE),0)</f>
        <v>6338</v>
      </c>
      <c r="G23" s="8">
        <f t="shared" si="2"/>
        <v>152882</v>
      </c>
      <c r="H23" s="7"/>
      <c r="I23" s="7">
        <v>77882</v>
      </c>
      <c r="J23" s="7">
        <v>75000</v>
      </c>
      <c r="K23" s="7"/>
      <c r="L23" s="7"/>
      <c r="M23" s="7"/>
      <c r="N23" s="7"/>
      <c r="O23" s="7"/>
      <c r="P23" s="7"/>
      <c r="Q23" s="7"/>
      <c r="R23" s="5">
        <f t="shared" si="3"/>
        <v>0</v>
      </c>
      <c r="S23" s="4"/>
    </row>
    <row r="24" spans="1:19" x14ac:dyDescent="0.35">
      <c r="A24" s="6" t="s">
        <v>23</v>
      </c>
      <c r="B24" s="6" t="s">
        <v>96</v>
      </c>
      <c r="C24" s="6" t="s">
        <v>97</v>
      </c>
      <c r="D24" s="6" t="s">
        <v>41</v>
      </c>
      <c r="E24" s="7">
        <f>VLOOKUP($B24,'Foundation Inport'!$A$2:$H$52,3,FALSE)</f>
        <v>159220</v>
      </c>
      <c r="F24" s="7">
        <f>IF(VLOOKUP($B24,'Foundation Inport'!$A$2:$H$592,4,FALSE)&gt;0,VLOOKUP($B24,'Foundation Inport'!$A$2:$H$592,4,FALSE),0)</f>
        <v>6338</v>
      </c>
      <c r="G24" s="8">
        <f t="shared" si="2"/>
        <v>152882</v>
      </c>
      <c r="H24" s="7"/>
      <c r="I24" s="7">
        <v>77882</v>
      </c>
      <c r="J24" s="7">
        <v>75000</v>
      </c>
      <c r="K24" s="7"/>
      <c r="L24" s="7"/>
      <c r="M24" s="7"/>
      <c r="N24" s="7"/>
      <c r="O24" s="7"/>
      <c r="P24" s="7"/>
      <c r="Q24" s="7"/>
      <c r="R24" s="5">
        <f t="shared" si="3"/>
        <v>0</v>
      </c>
      <c r="S24" s="4"/>
    </row>
    <row r="25" spans="1:19" x14ac:dyDescent="0.35">
      <c r="A25" t="s">
        <v>19</v>
      </c>
      <c r="B25" t="s">
        <v>98</v>
      </c>
      <c r="C25" t="s">
        <v>99</v>
      </c>
      <c r="D25" t="s">
        <v>33</v>
      </c>
      <c r="E25" s="4">
        <f>VLOOKUP($B25,'Foundation Inport'!$A$2:$H$52,3,FALSE)</f>
        <v>43540</v>
      </c>
      <c r="F25" s="4">
        <f>IF(VLOOKUP($B25,'Foundation Inport'!$A$2:$H$592,4,FALSE)&gt;0,VLOOKUP($B25,'Foundation Inport'!$A$2:$H$592,4,FALSE),0)</f>
        <v>5000</v>
      </c>
      <c r="G25" s="5">
        <f t="shared" si="2"/>
        <v>38540</v>
      </c>
      <c r="H25" s="17">
        <v>33000</v>
      </c>
      <c r="I25" s="4">
        <v>5540</v>
      </c>
      <c r="J25" s="4"/>
      <c r="K25" s="4"/>
      <c r="L25" s="4"/>
      <c r="M25" s="4"/>
      <c r="N25" s="4"/>
      <c r="O25" s="4"/>
      <c r="P25" s="4"/>
      <c r="Q25" s="4"/>
      <c r="R25" s="5">
        <f t="shared" si="3"/>
        <v>0</v>
      </c>
      <c r="S25" s="4"/>
    </row>
    <row r="26" spans="1:19" x14ac:dyDescent="0.35">
      <c r="A26" s="11" t="s">
        <v>23</v>
      </c>
      <c r="B26" s="11" t="s">
        <v>101</v>
      </c>
      <c r="C26" s="11" t="s">
        <v>102</v>
      </c>
      <c r="D26" s="11" t="s">
        <v>41</v>
      </c>
      <c r="E26" s="13">
        <f>VLOOKUP($B26,'Foundation Inport'!$A$2:$H$52,3,FALSE)</f>
        <v>59390</v>
      </c>
      <c r="F26" s="13">
        <f>IF(VLOOKUP($B26,'Foundation Inport'!$A$2:$H$592,4,FALSE)&gt;0,VLOOKUP($B26,'Foundation Inport'!$A$2:$H$592,4,FALSE),0)</f>
        <v>4500</v>
      </c>
      <c r="G26" s="14">
        <f t="shared" si="2"/>
        <v>54890</v>
      </c>
      <c r="H26" s="13"/>
      <c r="I26" s="13"/>
      <c r="J26" s="13">
        <v>54890</v>
      </c>
      <c r="K26" s="13"/>
      <c r="L26" s="13"/>
      <c r="M26" s="13"/>
      <c r="N26" s="13"/>
      <c r="O26" s="13"/>
      <c r="P26" s="13"/>
      <c r="Q26" s="13"/>
      <c r="R26" s="5">
        <f t="shared" si="3"/>
        <v>0</v>
      </c>
      <c r="S26" s="4"/>
    </row>
    <row r="27" spans="1:19" x14ac:dyDescent="0.35">
      <c r="A27" t="s">
        <v>19</v>
      </c>
      <c r="B27" t="s">
        <v>108</v>
      </c>
      <c r="C27" t="s">
        <v>109</v>
      </c>
      <c r="D27" t="s">
        <v>26</v>
      </c>
      <c r="E27" s="4">
        <f>VLOOKUP($B27,'Foundation Inport'!$A$2:$H$52,3,FALSE)</f>
        <v>6418</v>
      </c>
      <c r="F27" s="4">
        <f>IF(VLOOKUP($B27,'Foundation Inport'!$A$2:$H$592,4,FALSE)&gt;0,VLOOKUP($B27,'Foundation Inport'!$A$2:$H$592,4,FALSE),0)</f>
        <v>0</v>
      </c>
      <c r="G27" s="5">
        <f t="shared" si="2"/>
        <v>6418</v>
      </c>
      <c r="H27" s="4"/>
      <c r="I27" s="4">
        <v>6418</v>
      </c>
      <c r="J27" s="4"/>
      <c r="K27" s="4"/>
      <c r="L27" s="4"/>
      <c r="M27" s="4"/>
      <c r="N27" s="4"/>
      <c r="O27" s="4"/>
      <c r="P27" s="4"/>
      <c r="Q27" s="4"/>
      <c r="R27" s="5">
        <f t="shared" si="3"/>
        <v>0</v>
      </c>
      <c r="S27" s="4"/>
    </row>
    <row r="28" spans="1:19" x14ac:dyDescent="0.35">
      <c r="A28" s="6" t="s">
        <v>23</v>
      </c>
      <c r="B28" s="6" t="s">
        <v>110</v>
      </c>
      <c r="C28" s="6" t="s">
        <v>111</v>
      </c>
      <c r="D28" s="6" t="s">
        <v>26</v>
      </c>
      <c r="E28" s="7">
        <f>VLOOKUP($B28,'Foundation Inport'!$A$2:$H$52,3,FALSE)</f>
        <v>6650</v>
      </c>
      <c r="F28" s="7">
        <f>IF(VLOOKUP($B28,'Foundation Inport'!$A$2:$H$592,4,FALSE)&gt;0,VLOOKUP($B28,'Foundation Inport'!$A$2:$H$592,4,FALSE),0)</f>
        <v>6650</v>
      </c>
      <c r="G28" s="8">
        <f t="shared" si="2"/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5">
        <f t="shared" si="3"/>
        <v>0</v>
      </c>
      <c r="S28" s="4"/>
    </row>
    <row r="29" spans="1:19" x14ac:dyDescent="0.35">
      <c r="A29" s="6" t="s">
        <v>19</v>
      </c>
      <c r="B29" s="6" t="s">
        <v>112</v>
      </c>
      <c r="C29" s="6" t="s">
        <v>113</v>
      </c>
      <c r="D29" s="6" t="s">
        <v>26</v>
      </c>
      <c r="E29" s="7">
        <f>VLOOKUP($B29,'Foundation Inport'!$A$2:$H$52,3,FALSE)</f>
        <v>9866.5</v>
      </c>
      <c r="F29" s="7">
        <f>IF(VLOOKUP($B29,'Foundation Inport'!$A$2:$H$592,4,FALSE)&gt;0,VLOOKUP($B29,'Foundation Inport'!$A$2:$H$592,4,FALSE),0)</f>
        <v>9866.5</v>
      </c>
      <c r="G29" s="8">
        <f t="shared" si="2"/>
        <v>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5">
        <f t="shared" si="3"/>
        <v>0</v>
      </c>
      <c r="S29" s="4"/>
    </row>
    <row r="30" spans="1:19" x14ac:dyDescent="0.35">
      <c r="A30" s="6" t="s">
        <v>19</v>
      </c>
      <c r="B30" s="6" t="s">
        <v>114</v>
      </c>
      <c r="C30" s="6" t="s">
        <v>115</v>
      </c>
      <c r="D30" s="6" t="s">
        <v>41</v>
      </c>
      <c r="E30" s="7">
        <f>VLOOKUP($B30,'Foundation Inport'!$A$2:$H$52,3,FALSE)</f>
        <v>95668</v>
      </c>
      <c r="F30" s="7">
        <f>IF(VLOOKUP($B30,'Foundation Inport'!$A$2:$H$592,4,FALSE)&gt;0,VLOOKUP($B30,'Foundation Inport'!$A$2:$H$592,4,FALSE),0)</f>
        <v>47834</v>
      </c>
      <c r="G30" s="8">
        <f t="shared" si="2"/>
        <v>47834</v>
      </c>
      <c r="H30" s="21">
        <v>38267.199999999997</v>
      </c>
      <c r="I30" s="7">
        <v>9566.7999999999993</v>
      </c>
      <c r="J30" s="7"/>
      <c r="K30" s="7"/>
      <c r="L30" s="7"/>
      <c r="M30" s="7"/>
      <c r="N30" s="7"/>
      <c r="O30" s="7"/>
      <c r="P30" s="7"/>
      <c r="Q30" s="7"/>
      <c r="R30" s="5">
        <f t="shared" si="3"/>
        <v>0</v>
      </c>
      <c r="S30" s="4"/>
    </row>
    <row r="31" spans="1:19" x14ac:dyDescent="0.35">
      <c r="A31" s="11" t="s">
        <v>19</v>
      </c>
      <c r="B31" s="11" t="s">
        <v>116</v>
      </c>
      <c r="C31" s="11" t="s">
        <v>117</v>
      </c>
      <c r="D31" s="11" t="s">
        <v>41</v>
      </c>
      <c r="E31" s="13">
        <f>VLOOKUP($B31,'Foundation Inport'!$A$2:$H$67,3,FALSE)</f>
        <v>85225</v>
      </c>
      <c r="F31" s="13">
        <f>IF(VLOOKUP($B31,'Foundation Inport'!$A$2:$H$592,4,FALSE)&gt;0,VLOOKUP($B31,'Foundation Inport'!$A$2:$H$592,4,FALSE),0)</f>
        <v>0</v>
      </c>
      <c r="G31" s="14">
        <f t="shared" si="2"/>
        <v>85225</v>
      </c>
      <c r="H31" s="18">
        <v>5000</v>
      </c>
      <c r="I31" s="13">
        <v>40225</v>
      </c>
      <c r="J31" s="13">
        <v>40000</v>
      </c>
      <c r="K31" s="13"/>
      <c r="L31" s="13"/>
      <c r="M31" s="13"/>
      <c r="N31" s="13"/>
      <c r="O31" s="13"/>
      <c r="P31" s="13"/>
      <c r="Q31" s="13"/>
      <c r="R31" s="5">
        <f t="shared" si="3"/>
        <v>0</v>
      </c>
      <c r="S31" s="4"/>
    </row>
    <row r="32" spans="1:19" x14ac:dyDescent="0.35">
      <c r="A32" s="11" t="s">
        <v>19</v>
      </c>
      <c r="B32" s="11" t="s">
        <v>118</v>
      </c>
      <c r="C32" s="11" t="s">
        <v>119</v>
      </c>
      <c r="D32" s="11" t="s">
        <v>41</v>
      </c>
      <c r="E32" s="13">
        <f>VLOOKUP($B32,'Foundation Inport'!$A$2:$H$67,3,FALSE)</f>
        <v>104700</v>
      </c>
      <c r="F32" s="13">
        <f>IF(VLOOKUP($B32,'Foundation Inport'!$A$2:$H$592,4,FALSE)&gt;0,VLOOKUP($B32,'Foundation Inport'!$A$2:$H$592,4,FALSE),0)</f>
        <v>72825</v>
      </c>
      <c r="G32" s="14">
        <f t="shared" si="2"/>
        <v>31875</v>
      </c>
      <c r="H32" s="18">
        <v>15937.5</v>
      </c>
      <c r="I32" s="13">
        <v>15937.5</v>
      </c>
      <c r="J32" s="13"/>
      <c r="K32" s="13"/>
      <c r="L32" s="13"/>
      <c r="M32" s="13"/>
      <c r="N32" s="13"/>
      <c r="O32" s="13"/>
      <c r="P32" s="13"/>
      <c r="Q32" s="13"/>
      <c r="R32" s="5">
        <f t="shared" si="3"/>
        <v>0</v>
      </c>
      <c r="S32" s="4"/>
    </row>
    <row r="33" spans="1:19" x14ac:dyDescent="0.35">
      <c r="A33" s="11" t="s">
        <v>23</v>
      </c>
      <c r="B33" s="11" t="s">
        <v>120</v>
      </c>
      <c r="C33" s="11" t="s">
        <v>121</v>
      </c>
      <c r="D33" s="11" t="s">
        <v>33</v>
      </c>
      <c r="E33" s="13">
        <f>VLOOKUP($B33,'Foundation Inport'!$A$2:$H$67,3,FALSE)</f>
        <v>434892</v>
      </c>
      <c r="F33" s="13">
        <f>IF(VLOOKUP($B33,'Foundation Inport'!$A$2:$H$592,4,FALSE)&gt;0,VLOOKUP($B33,'Foundation Inport'!$A$2:$H$592,4,FALSE),0)</f>
        <v>0</v>
      </c>
      <c r="G33" s="14">
        <f t="shared" si="2"/>
        <v>434892</v>
      </c>
      <c r="H33" s="13"/>
      <c r="I33" s="13">
        <v>15000</v>
      </c>
      <c r="J33" s="13"/>
      <c r="K33" s="13"/>
      <c r="L33" s="13">
        <v>235892</v>
      </c>
      <c r="M33" s="13">
        <v>100000</v>
      </c>
      <c r="N33" s="13">
        <v>84000</v>
      </c>
      <c r="O33" s="13"/>
      <c r="P33" s="13"/>
      <c r="Q33" s="13"/>
      <c r="R33" s="5">
        <f t="shared" si="3"/>
        <v>0</v>
      </c>
      <c r="S33" s="4"/>
    </row>
    <row r="34" spans="1:19" x14ac:dyDescent="0.35">
      <c r="A34" t="s">
        <v>19</v>
      </c>
      <c r="B34" t="s">
        <v>122</v>
      </c>
      <c r="C34" t="s">
        <v>123</v>
      </c>
      <c r="D34" t="s">
        <v>26</v>
      </c>
      <c r="E34" s="4">
        <f>VLOOKUP($B34,'Foundation Inport'!$A$2:$H$67,3,FALSE)</f>
        <v>12300</v>
      </c>
      <c r="F34" s="4">
        <f>IF(VLOOKUP($B34,'Foundation Inport'!$A$2:$H$592,4,FALSE)&gt;0,VLOOKUP($B34,'Foundation Inport'!$A$2:$H$592,4,FALSE),0)</f>
        <v>6925.01</v>
      </c>
      <c r="G34" s="5">
        <f t="shared" si="2"/>
        <v>5374.99</v>
      </c>
      <c r="H34" s="4"/>
      <c r="I34" s="4">
        <v>5374.99</v>
      </c>
      <c r="J34" s="4"/>
      <c r="K34" s="4"/>
      <c r="L34" s="4"/>
      <c r="M34" s="4"/>
      <c r="N34" s="4"/>
      <c r="O34" s="4"/>
      <c r="P34" s="4"/>
      <c r="Q34" s="4"/>
      <c r="R34" s="5">
        <f t="shared" si="3"/>
        <v>0</v>
      </c>
      <c r="S34" s="4"/>
    </row>
    <row r="35" spans="1:19" x14ac:dyDescent="0.35">
      <c r="A35" t="s">
        <v>23</v>
      </c>
      <c r="B35" t="s">
        <v>124</v>
      </c>
      <c r="C35" t="s">
        <v>125</v>
      </c>
      <c r="D35" t="s">
        <v>41</v>
      </c>
      <c r="E35" s="4">
        <f>VLOOKUP($B35,'Foundation Inport'!$A$2:$H$67,3,FALSE)</f>
        <v>178980.93</v>
      </c>
      <c r="F35" s="4">
        <f>IF(VLOOKUP($B35,'Foundation Inport'!$A$2:$H$592,4,FALSE)&gt;0,VLOOKUP($B35,'Foundation Inport'!$A$2:$H$592,4,FALSE),0)</f>
        <v>0</v>
      </c>
      <c r="G35" s="5">
        <f t="shared" si="2"/>
        <v>178980.93</v>
      </c>
      <c r="H35" s="17">
        <v>86154.93</v>
      </c>
      <c r="I35" s="4">
        <v>23478.5</v>
      </c>
      <c r="J35" s="4">
        <f>138695/2</f>
        <v>69347.5</v>
      </c>
      <c r="K35" s="4"/>
      <c r="L35" s="4"/>
      <c r="M35" s="4"/>
      <c r="N35" s="4"/>
      <c r="O35" s="4"/>
      <c r="P35" s="4"/>
      <c r="Q35" s="4"/>
      <c r="R35" s="5">
        <f t="shared" si="3"/>
        <v>0</v>
      </c>
      <c r="S35" s="4"/>
    </row>
    <row r="36" spans="1:19" x14ac:dyDescent="0.35">
      <c r="A36" t="s">
        <v>23</v>
      </c>
      <c r="B36" t="s">
        <v>126</v>
      </c>
      <c r="C36" t="s">
        <v>127</v>
      </c>
      <c r="D36" t="s">
        <v>22</v>
      </c>
      <c r="E36" s="4">
        <f>VLOOKUP($B36,'Foundation Inport'!$A$2:$H$67,3,FALSE)</f>
        <v>478940</v>
      </c>
      <c r="F36" s="4">
        <f>IF(VLOOKUP($B36,'Foundation Inport'!$A$2:$H$592,4,FALSE)&gt;0,VLOOKUP($B36,'Foundation Inport'!$A$2:$H$592,4,FALSE),0)</f>
        <v>0</v>
      </c>
      <c r="G36" s="5">
        <f t="shared" si="2"/>
        <v>478940</v>
      </c>
      <c r="H36" s="4"/>
      <c r="I36" s="24">
        <v>32750</v>
      </c>
      <c r="J36" s="4"/>
      <c r="K36" s="4">
        <v>35000</v>
      </c>
      <c r="L36" s="4">
        <v>150000</v>
      </c>
      <c r="M36" s="4">
        <v>178940</v>
      </c>
      <c r="N36" s="4">
        <v>94800</v>
      </c>
      <c r="O36" s="4"/>
      <c r="P36" s="4"/>
      <c r="Q36" s="4"/>
      <c r="R36" s="5">
        <f t="shared" si="3"/>
        <v>-12550</v>
      </c>
      <c r="S36" s="4"/>
    </row>
    <row r="37" spans="1:19" x14ac:dyDescent="0.35">
      <c r="A37" t="s">
        <v>19</v>
      </c>
      <c r="B37" t="s">
        <v>128</v>
      </c>
      <c r="C37" t="s">
        <v>129</v>
      </c>
      <c r="D37" t="s">
        <v>33</v>
      </c>
      <c r="E37" s="4">
        <f>VLOOKUP($B37,'Foundation Inport'!$A$2:$H$67,3,FALSE)</f>
        <v>52180</v>
      </c>
      <c r="F37" s="4">
        <f>IF(VLOOKUP($B37,'Foundation Inport'!$A$2:$H$592,4,FALSE)&gt;0,VLOOKUP($B37,'Foundation Inport'!$A$2:$H$592,4,FALSE),0)</f>
        <v>0</v>
      </c>
      <c r="G37" s="5">
        <f t="shared" si="2"/>
        <v>52180</v>
      </c>
      <c r="H37" s="4"/>
      <c r="I37" s="4"/>
      <c r="J37" s="4"/>
      <c r="K37" s="4">
        <v>48680</v>
      </c>
      <c r="L37" s="4">
        <v>3500</v>
      </c>
      <c r="M37" s="4"/>
      <c r="N37" s="4"/>
      <c r="O37" s="4"/>
      <c r="P37" s="4"/>
      <c r="Q37" s="4"/>
      <c r="R37" s="5">
        <f t="shared" si="3"/>
        <v>0</v>
      </c>
      <c r="S37" s="4"/>
    </row>
    <row r="38" spans="1:19" x14ac:dyDescent="0.35">
      <c r="A38" t="s">
        <v>19</v>
      </c>
      <c r="B38" t="s">
        <v>130</v>
      </c>
      <c r="C38" t="s">
        <v>131</v>
      </c>
      <c r="D38" t="s">
        <v>22</v>
      </c>
      <c r="E38" s="4">
        <f>VLOOKUP($B38,'Foundation Inport'!$A$2:$H$67,3,FALSE)</f>
        <v>16900</v>
      </c>
      <c r="F38" s="4">
        <f>IF(VLOOKUP($B38,'Foundation Inport'!$A$2:$H$592,4,FALSE)&gt;0,VLOOKUP($B38,'Foundation Inport'!$A$2:$H$592,4,FALSE),0)</f>
        <v>0</v>
      </c>
      <c r="G38" s="5">
        <f t="shared" si="2"/>
        <v>16900</v>
      </c>
      <c r="H38" s="17">
        <v>16900</v>
      </c>
      <c r="I38" s="4"/>
      <c r="J38" s="4"/>
      <c r="K38" s="4">
        <v>0</v>
      </c>
      <c r="L38" s="4"/>
      <c r="M38" s="4"/>
      <c r="N38" s="4"/>
      <c r="O38" s="4"/>
      <c r="P38" s="4"/>
      <c r="Q38" s="4"/>
      <c r="R38" s="5">
        <f t="shared" si="3"/>
        <v>0</v>
      </c>
      <c r="S38" s="4"/>
    </row>
    <row r="39" spans="1:19" x14ac:dyDescent="0.35">
      <c r="A39" t="s">
        <v>23</v>
      </c>
      <c r="B39" t="s">
        <v>132</v>
      </c>
      <c r="C39" t="s">
        <v>133</v>
      </c>
      <c r="D39" t="s">
        <v>26</v>
      </c>
      <c r="E39" s="4">
        <f>VLOOKUP($B39,'Foundation Inport'!$A$2:$H$67,3,FALSE)</f>
        <v>8000</v>
      </c>
      <c r="F39" s="4">
        <f>IF(VLOOKUP($B39,'Foundation Inport'!$A$2:$H$592,4,FALSE)&gt;0,VLOOKUP($B39,'Foundation Inport'!$A$2:$H$592,4,FALSE),0)</f>
        <v>3600</v>
      </c>
      <c r="G39" s="5">
        <f t="shared" si="2"/>
        <v>4400</v>
      </c>
      <c r="H39" s="4"/>
      <c r="I39" s="4"/>
      <c r="J39" s="4">
        <v>4400</v>
      </c>
      <c r="K39" s="4"/>
      <c r="L39" s="4"/>
      <c r="M39" s="4"/>
      <c r="N39" s="4"/>
      <c r="O39" s="4"/>
      <c r="P39" s="4"/>
      <c r="Q39" s="4"/>
      <c r="R39" s="5">
        <f t="shared" si="3"/>
        <v>0</v>
      </c>
      <c r="S39" s="4"/>
    </row>
    <row r="40" spans="1:19" x14ac:dyDescent="0.35">
      <c r="A40" t="s">
        <v>23</v>
      </c>
      <c r="B40" t="s">
        <v>134</v>
      </c>
      <c r="C40" t="s">
        <v>135</v>
      </c>
      <c r="D40" t="s">
        <v>70</v>
      </c>
      <c r="E40" s="4">
        <f>VLOOKUP($B40,'Foundation Inport'!$A$2:$H$67,3,FALSE)</f>
        <v>5815</v>
      </c>
      <c r="F40" s="4">
        <f>IF(VLOOKUP($B40,'Foundation Inport'!$A$2:$H$592,4,FALSE)&gt;0,VLOOKUP($B40,'Foundation Inport'!$A$2:$H$592,4,FALSE),0)</f>
        <v>2565</v>
      </c>
      <c r="G40" s="5">
        <f t="shared" si="2"/>
        <v>3250</v>
      </c>
      <c r="H40" s="4"/>
      <c r="I40" s="4"/>
      <c r="J40" s="4"/>
      <c r="K40" s="4"/>
      <c r="L40" s="4">
        <v>3250</v>
      </c>
      <c r="M40" s="4"/>
      <c r="N40" s="4"/>
      <c r="O40" s="4"/>
      <c r="P40" s="4"/>
      <c r="Q40" s="4"/>
      <c r="R40" s="5">
        <f t="shared" si="3"/>
        <v>0</v>
      </c>
      <c r="S40" s="4"/>
    </row>
    <row r="41" spans="1:19" x14ac:dyDescent="0.35">
      <c r="A41" t="s">
        <v>23</v>
      </c>
      <c r="B41" t="s">
        <v>136</v>
      </c>
      <c r="C41" t="s">
        <v>137</v>
      </c>
      <c r="D41" t="s">
        <v>33</v>
      </c>
      <c r="E41" s="4">
        <f>VLOOKUP($B41,'Foundation Inport'!$A$2:$H$67,3,FALSE)</f>
        <v>54375</v>
      </c>
      <c r="F41" s="4">
        <f>IF(VLOOKUP($B41,'Foundation Inport'!$A$2:$H$592,4,FALSE)&gt;0,VLOOKUP($B41,'Foundation Inport'!$A$2:$H$592,4,FALSE),0)</f>
        <v>0</v>
      </c>
      <c r="G41" s="5">
        <f t="shared" si="2"/>
        <v>54375</v>
      </c>
      <c r="H41" s="4"/>
      <c r="I41" s="4">
        <v>54375</v>
      </c>
      <c r="J41" s="4"/>
      <c r="K41" s="4"/>
      <c r="L41" s="4"/>
      <c r="M41" s="4"/>
      <c r="N41" s="4"/>
      <c r="O41" s="4"/>
      <c r="P41" s="4"/>
      <c r="Q41" s="4"/>
      <c r="R41" s="5">
        <f t="shared" si="3"/>
        <v>0</v>
      </c>
      <c r="S41" s="4"/>
    </row>
    <row r="42" spans="1:19" x14ac:dyDescent="0.35">
      <c r="A42" t="s">
        <v>23</v>
      </c>
      <c r="B42" t="s">
        <v>138</v>
      </c>
      <c r="C42" t="s">
        <v>139</v>
      </c>
      <c r="D42" t="s">
        <v>33</v>
      </c>
      <c r="E42" s="4">
        <f>VLOOKUP($B42,'Foundation Inport'!$A$2:$H$67,3,FALSE)</f>
        <v>310410</v>
      </c>
      <c r="F42" s="4">
        <f>IF(VLOOKUP($B42,'Foundation Inport'!$A$2:$H$592,4,FALSE)&gt;0,VLOOKUP($B42,'Foundation Inport'!$A$2:$H$592,4,FALSE),0)</f>
        <v>0</v>
      </c>
      <c r="G42" s="5">
        <f t="shared" si="2"/>
        <v>310410</v>
      </c>
      <c r="H42" s="4"/>
      <c r="I42" s="4">
        <v>5000</v>
      </c>
      <c r="J42" s="4"/>
      <c r="K42" s="4"/>
      <c r="L42" s="4"/>
      <c r="M42" s="4">
        <v>108500</v>
      </c>
      <c r="N42" s="4">
        <v>100000</v>
      </c>
      <c r="O42" s="4">
        <v>96910</v>
      </c>
      <c r="P42" s="4"/>
      <c r="Q42" s="4"/>
      <c r="R42" s="5">
        <f t="shared" si="3"/>
        <v>0</v>
      </c>
      <c r="S42" s="4"/>
    </row>
    <row r="43" spans="1:19" x14ac:dyDescent="0.35">
      <c r="A43" t="s">
        <v>19</v>
      </c>
      <c r="B43" t="s">
        <v>140</v>
      </c>
      <c r="C43" t="s">
        <v>141</v>
      </c>
      <c r="D43" t="s">
        <v>33</v>
      </c>
      <c r="E43" s="4">
        <f>VLOOKUP($B43,'Foundation Inport'!$A$2:$H$67,3,FALSE)</f>
        <v>100000</v>
      </c>
      <c r="F43" s="4">
        <f>IF(VLOOKUP($B43,'Foundation Inport'!$A$2:$H$592,4,FALSE)&gt;0,VLOOKUP($B43,'Foundation Inport'!$A$2:$H$592,4,FALSE),0)</f>
        <v>0</v>
      </c>
      <c r="G43" s="5">
        <f t="shared" si="2"/>
        <v>100000</v>
      </c>
      <c r="H43" s="4"/>
      <c r="I43" s="4">
        <v>5000</v>
      </c>
      <c r="J43" s="4">
        <v>20000</v>
      </c>
      <c r="K43" s="4">
        <v>75000</v>
      </c>
      <c r="L43" s="4"/>
      <c r="M43" s="4"/>
      <c r="N43" s="4"/>
      <c r="O43" s="4"/>
      <c r="P43" s="4"/>
      <c r="Q43" s="4"/>
      <c r="R43" s="5">
        <f t="shared" si="3"/>
        <v>0</v>
      </c>
      <c r="S43" s="4"/>
    </row>
    <row r="44" spans="1:19" x14ac:dyDescent="0.35">
      <c r="A44" t="s">
        <v>23</v>
      </c>
      <c r="B44" t="s">
        <v>142</v>
      </c>
      <c r="C44" t="s">
        <v>143</v>
      </c>
      <c r="D44" t="s">
        <v>41</v>
      </c>
      <c r="E44" s="4">
        <f>VLOOKUP($B44,'Foundation Inport'!$A$2:$H$67,3,FALSE)</f>
        <v>99340</v>
      </c>
      <c r="F44" s="4">
        <f>IF(VLOOKUP($B44,'Foundation Inport'!$A$2:$H$592,4,FALSE)&gt;0,VLOOKUP($B44,'Foundation Inport'!$A$2:$H$592,4,FALSE),0)</f>
        <v>0</v>
      </c>
      <c r="G44" s="5">
        <f t="shared" si="2"/>
        <v>99340</v>
      </c>
      <c r="H44" s="4"/>
      <c r="I44" s="4">
        <v>5000</v>
      </c>
      <c r="J44" s="4">
        <v>30840</v>
      </c>
      <c r="K44" s="4">
        <v>30000</v>
      </c>
      <c r="L44" s="4">
        <v>30000</v>
      </c>
      <c r="M44" s="4">
        <v>3500</v>
      </c>
      <c r="N44" s="4"/>
      <c r="O44" s="4"/>
      <c r="P44" s="4"/>
      <c r="Q44" s="4"/>
      <c r="R44" s="5">
        <f t="shared" si="3"/>
        <v>0</v>
      </c>
      <c r="S44" s="4"/>
    </row>
    <row r="45" spans="1:19" x14ac:dyDescent="0.35">
      <c r="A45" t="s">
        <v>23</v>
      </c>
      <c r="B45" t="s">
        <v>144</v>
      </c>
      <c r="C45" t="s">
        <v>145</v>
      </c>
      <c r="D45" t="s">
        <v>33</v>
      </c>
      <c r="E45" s="4">
        <f>VLOOKUP($B45,'Foundation Inport'!$A$2:$H$67,3,FALSE)</f>
        <v>89827.19</v>
      </c>
      <c r="F45" s="4">
        <f>IF(VLOOKUP($B45,'Foundation Inport'!$A$2:$H$592,4,FALSE)&gt;0,VLOOKUP($B45,'Foundation Inport'!$A$2:$H$592,4,FALSE),0)</f>
        <v>0</v>
      </c>
      <c r="G45" s="5">
        <f t="shared" si="2"/>
        <v>89827.19</v>
      </c>
      <c r="H45" s="4"/>
      <c r="I45" s="4">
        <v>5000</v>
      </c>
      <c r="J45" s="4"/>
      <c r="K45" s="4">
        <v>40000</v>
      </c>
      <c r="L45" s="4">
        <v>44827.19</v>
      </c>
      <c r="M45" s="4"/>
      <c r="N45" s="4"/>
      <c r="O45" s="4"/>
      <c r="P45" s="4"/>
      <c r="Q45" s="4"/>
      <c r="R45" s="5">
        <f t="shared" si="3"/>
        <v>0</v>
      </c>
      <c r="S45" s="4"/>
    </row>
    <row r="46" spans="1:19" x14ac:dyDescent="0.35">
      <c r="A46" t="s">
        <v>23</v>
      </c>
      <c r="B46" t="s">
        <v>146</v>
      </c>
      <c r="C46" t="s">
        <v>147</v>
      </c>
      <c r="D46" t="s">
        <v>26</v>
      </c>
      <c r="E46" s="4">
        <f>VLOOKUP($B46,'Foundation Inport'!$A$2:$H$69,3,FALSE)</f>
        <v>5670</v>
      </c>
      <c r="F46" s="4">
        <f>IF(VLOOKUP($B46,'Foundation Inport'!$A$2:$H$592,4,FALSE)&gt;0,VLOOKUP($B46,'Foundation Inport'!$A$2:$H$592,4,FALSE),0)</f>
        <v>0</v>
      </c>
      <c r="G46" s="5">
        <f t="shared" ref="G46:G47" si="4">E46-F46</f>
        <v>5670</v>
      </c>
      <c r="H46" s="4"/>
      <c r="I46" s="4">
        <v>5670</v>
      </c>
      <c r="J46" s="4"/>
      <c r="K46" s="4"/>
      <c r="L46" s="4"/>
      <c r="M46" s="4"/>
      <c r="N46" s="4"/>
      <c r="O46" s="4"/>
      <c r="P46" s="4"/>
      <c r="Q46" s="4"/>
      <c r="R46" s="5">
        <f t="shared" ref="R46:R47" si="5">G46-SUM(H46:Q46)</f>
        <v>0</v>
      </c>
      <c r="S46" s="4"/>
    </row>
    <row r="47" spans="1:19" x14ac:dyDescent="0.35">
      <c r="A47" t="s">
        <v>19</v>
      </c>
      <c r="B47" t="s">
        <v>148</v>
      </c>
      <c r="C47" t="s">
        <v>149</v>
      </c>
      <c r="D47" t="s">
        <v>33</v>
      </c>
      <c r="E47" s="4">
        <f>VLOOKUP($B47,'Foundation Inport'!$A$2:$H$70,3,FALSE)</f>
        <v>46400</v>
      </c>
      <c r="F47" s="4">
        <f>IF(VLOOKUP($B47,'Foundation Inport'!$A$2:$H$592,4,FALSE)&gt;0,VLOOKUP($B47,'Foundation Inport'!$A$2:$H$592,4,FALSE),0)</f>
        <v>0</v>
      </c>
      <c r="G47" s="5">
        <f t="shared" si="4"/>
        <v>46400</v>
      </c>
      <c r="H47" s="4"/>
      <c r="I47" s="4">
        <v>5000</v>
      </c>
      <c r="J47" s="4"/>
      <c r="K47" s="4"/>
      <c r="L47" s="4">
        <v>41400</v>
      </c>
      <c r="M47" s="4"/>
      <c r="N47" s="4"/>
      <c r="O47" s="4"/>
      <c r="P47" s="4"/>
      <c r="Q47" s="4"/>
      <c r="R47" s="5">
        <f t="shared" si="5"/>
        <v>0</v>
      </c>
      <c r="S47" s="4"/>
    </row>
    <row r="48" spans="1:19" x14ac:dyDescent="0.35">
      <c r="A48" t="s">
        <v>19</v>
      </c>
      <c r="B48" t="s">
        <v>197</v>
      </c>
      <c r="C48" t="s">
        <v>198</v>
      </c>
      <c r="D48" t="s">
        <v>41</v>
      </c>
      <c r="E48" s="4">
        <f>VLOOKUP($B48,'Foundation Inport'!$A$2:$H$75,3,FALSE)</f>
        <v>26660</v>
      </c>
      <c r="F48" s="4">
        <f>IF(VLOOKUP($B48,'Foundation Inport'!$A$2:$H$592,4,FALSE)&gt;0,VLOOKUP($B48,'Foundation Inport'!$A$2:$H$592,4,FALSE),0)</f>
        <v>0</v>
      </c>
      <c r="G48" s="5">
        <f>E48-F48</f>
        <v>26660</v>
      </c>
      <c r="H48" s="4"/>
      <c r="I48" s="4"/>
      <c r="J48" s="4">
        <v>26660</v>
      </c>
      <c r="K48" s="4"/>
      <c r="L48" s="4"/>
      <c r="M48" s="4"/>
      <c r="N48" s="4"/>
      <c r="O48" s="4"/>
      <c r="P48" s="4"/>
      <c r="Q48" s="4"/>
      <c r="R48" s="5">
        <f>G48-SUM(H48:Q48)</f>
        <v>0</v>
      </c>
      <c r="S48" s="4"/>
    </row>
    <row r="49" spans="1:19" x14ac:dyDescent="0.35">
      <c r="A49" t="s">
        <v>19</v>
      </c>
      <c r="B49" t="s">
        <v>200</v>
      </c>
      <c r="C49" t="s">
        <v>203</v>
      </c>
      <c r="D49" t="s">
        <v>33</v>
      </c>
      <c r="E49" s="4">
        <f>VLOOKUP($B49,'Foundation Inport'!$A$2:$H$75,3,FALSE)</f>
        <v>46465</v>
      </c>
      <c r="F49" s="4">
        <f>IF(VLOOKUP($B49,'Foundation Inport'!$A$2:$H$592,4,FALSE)&gt;0,VLOOKUP($B49,'Foundation Inport'!$A$2:$H$592,4,FALSE),0)</f>
        <v>0</v>
      </c>
      <c r="G49" s="5">
        <f>E49-F49</f>
        <v>46465</v>
      </c>
      <c r="H49" s="4"/>
      <c r="I49" s="4">
        <v>5000</v>
      </c>
      <c r="J49" s="4"/>
      <c r="K49" s="4"/>
      <c r="L49" s="4">
        <v>41465</v>
      </c>
      <c r="M49" s="4"/>
      <c r="N49" s="4"/>
      <c r="O49" s="4"/>
      <c r="P49" s="4"/>
      <c r="Q49" s="4"/>
      <c r="R49" s="5">
        <f>G49-SUM(H49:Q49)</f>
        <v>0</v>
      </c>
      <c r="S49" s="4"/>
    </row>
    <row r="50" spans="1:19" x14ac:dyDescent="0.35">
      <c r="A50" t="s">
        <v>19</v>
      </c>
      <c r="B50" t="s">
        <v>201</v>
      </c>
      <c r="C50" t="s">
        <v>206</v>
      </c>
      <c r="D50" t="s">
        <v>33</v>
      </c>
      <c r="E50" s="4">
        <f>VLOOKUP($B50,'Foundation Inport'!$A$2:$H$75,3,FALSE)</f>
        <v>9340</v>
      </c>
      <c r="F50" s="4">
        <f>IF(VLOOKUP($B50,'Foundation Inport'!$A$2:$H$592,4,FALSE)&gt;0,VLOOKUP($B50,'Foundation Inport'!$A$2:$H$592,4,FALSE),0)</f>
        <v>0</v>
      </c>
      <c r="G50" s="5">
        <f>E50-F50</f>
        <v>9340</v>
      </c>
      <c r="H50" s="4"/>
      <c r="I50" s="4"/>
      <c r="J50" s="4">
        <v>9340</v>
      </c>
      <c r="K50" s="4"/>
      <c r="L50" s="4"/>
      <c r="M50" s="4"/>
      <c r="N50" s="4"/>
      <c r="O50" s="4"/>
      <c r="P50" s="4"/>
      <c r="Q50" s="4"/>
      <c r="R50" s="5">
        <f>G50-SUM(H50:Q50)</f>
        <v>0</v>
      </c>
      <c r="S50" s="4"/>
    </row>
    <row r="51" spans="1:19" x14ac:dyDescent="0.35">
      <c r="A51" t="s">
        <v>19</v>
      </c>
      <c r="B51" t="s">
        <v>202</v>
      </c>
      <c r="C51" t="s">
        <v>207</v>
      </c>
      <c r="D51" t="s">
        <v>33</v>
      </c>
      <c r="E51" s="4">
        <f>VLOOKUP($B51,'Foundation Inport'!$A$2:$H$75,3,FALSE)</f>
        <v>4395</v>
      </c>
      <c r="F51" s="4">
        <f>IF(VLOOKUP($B51,'Foundation Inport'!$A$2:$H$592,4,FALSE)&gt;0,VLOOKUP($B51,'Foundation Inport'!$A$2:$H$592,4,FALSE),0)</f>
        <v>0</v>
      </c>
      <c r="G51" s="5">
        <f>E51-F51</f>
        <v>4395</v>
      </c>
      <c r="H51" s="4"/>
      <c r="I51" s="4">
        <v>4395</v>
      </c>
      <c r="J51" s="13"/>
      <c r="K51" s="4"/>
      <c r="L51" s="4"/>
      <c r="M51" s="4"/>
      <c r="N51" s="4"/>
      <c r="O51" s="4"/>
      <c r="P51" s="4"/>
      <c r="Q51" s="4"/>
      <c r="R51" s="5">
        <f>G51-SUM(H51:Q51)</f>
        <v>0</v>
      </c>
      <c r="S51" s="4"/>
    </row>
    <row r="52" spans="1:19" x14ac:dyDescent="0.35">
      <c r="E52" s="4"/>
      <c r="F52" s="4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4"/>
    </row>
    <row r="53" spans="1:19" x14ac:dyDescent="0.35">
      <c r="E53" s="4"/>
      <c r="F53" s="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4"/>
    </row>
    <row r="54" spans="1:19" x14ac:dyDescent="0.35">
      <c r="E54" s="4"/>
      <c r="F54" s="4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4"/>
    </row>
    <row r="55" spans="1:19" x14ac:dyDescent="0.35">
      <c r="E55" s="4"/>
      <c r="F55" s="4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4"/>
    </row>
    <row r="57" spans="1:19" x14ac:dyDescent="0.35">
      <c r="A57" s="6" t="s">
        <v>150</v>
      </c>
      <c r="B57" s="6"/>
      <c r="C57" s="6"/>
    </row>
    <row r="58" spans="1:19" x14ac:dyDescent="0.35">
      <c r="A58" s="11" t="s">
        <v>151</v>
      </c>
      <c r="B58" s="11"/>
      <c r="C58" s="11"/>
    </row>
  </sheetData>
  <phoneticPr fontId="1" type="noConversion"/>
  <pageMargins left="0.7" right="0.7" top="0.75" bottom="0.75" header="0.3" footer="0.3"/>
  <pageSetup paperSize="17" scale="75" fitToWidth="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view="pageBreakPreview" topLeftCell="A7" zoomScale="80" zoomScaleNormal="100" zoomScaleSheetLayoutView="80" workbookViewId="0">
      <selection activeCell="A3" sqref="A3"/>
    </sheetView>
  </sheetViews>
  <sheetFormatPr defaultRowHeight="14.5" x14ac:dyDescent="0.35"/>
  <cols>
    <col min="1" max="2" width="14.26953125" bestFit="1" customWidth="1"/>
    <col min="3" max="3" width="14.453125" bestFit="1" customWidth="1"/>
    <col min="4" max="6" width="14.26953125" bestFit="1" customWidth="1"/>
    <col min="7" max="7" width="13.7265625" bestFit="1" customWidth="1"/>
    <col min="8" max="8" width="14.26953125" bestFit="1" customWidth="1"/>
    <col min="9" max="12" width="12.453125" bestFit="1" customWidth="1"/>
    <col min="13" max="14" width="12.54296875" bestFit="1" customWidth="1"/>
    <col min="15" max="15" width="9.453125" customWidth="1"/>
    <col min="17" max="18" width="9.453125" customWidth="1"/>
  </cols>
  <sheetData>
    <row r="1" spans="1:15" x14ac:dyDescent="0.35">
      <c r="A1" s="22" t="s">
        <v>152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5" x14ac:dyDescent="0.35">
      <c r="A4" s="5">
        <f>SUM('Active Jobs Sheet'!H2:H77)</f>
        <v>687677.12999999989</v>
      </c>
      <c r="B4" s="5">
        <f>SUM('Active Jobs Sheet'!I2:I77)</f>
        <v>955676.79</v>
      </c>
      <c r="C4" s="5">
        <f>SUM('Active Jobs Sheet'!J2:J77)</f>
        <v>688177.84000000008</v>
      </c>
      <c r="D4" s="5">
        <f>SUM('Active Jobs Sheet'!K2:K77)</f>
        <v>476801.03</v>
      </c>
      <c r="E4" s="5">
        <f>SUM('Active Jobs Sheet'!L2:L77)</f>
        <v>626414.18999999994</v>
      </c>
      <c r="F4" s="5">
        <f>SUM('Active Jobs Sheet'!M2:M77)</f>
        <v>390940</v>
      </c>
      <c r="G4" s="5">
        <f>SUM('Active Jobs Sheet'!N2:N77)</f>
        <v>278800</v>
      </c>
      <c r="H4" s="5">
        <f>SUM('Active Jobs Sheet'!O2:O77)</f>
        <v>96910</v>
      </c>
      <c r="I4" s="5">
        <f>SUM('Active Jobs Sheet'!P2:P77)</f>
        <v>0</v>
      </c>
      <c r="J4" s="5">
        <f>SUM('Active Jobs Sheet'!Q2:Q77)</f>
        <v>0</v>
      </c>
    </row>
  </sheetData>
  <mergeCells count="1">
    <mergeCell ref="A1:O2"/>
  </mergeCells>
  <pageMargins left="0.7" right="0.7" top="0.75" bottom="0.75" header="0.3" footer="0.3"/>
  <pageSetup paperSize="17" scale="85" fitToWidth="2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view="pageBreakPreview" topLeftCell="A7" zoomScaleNormal="100" zoomScaleSheetLayoutView="100" workbookViewId="0">
      <selection activeCell="A3" sqref="A3"/>
    </sheetView>
  </sheetViews>
  <sheetFormatPr defaultRowHeight="14.5" x14ac:dyDescent="0.35"/>
  <cols>
    <col min="1" max="1" width="14.26953125" customWidth="1"/>
    <col min="2" max="2" width="14.26953125" bestFit="1" customWidth="1"/>
    <col min="3" max="3" width="14.453125" bestFit="1" customWidth="1"/>
    <col min="4" max="6" width="14.26953125" bestFit="1" customWidth="1"/>
    <col min="7" max="9" width="13.7265625" bestFit="1" customWidth="1"/>
    <col min="10" max="10" width="12.453125" bestFit="1" customWidth="1"/>
    <col min="11" max="11" width="12.453125" customWidth="1"/>
    <col min="12" max="12" width="12.453125" bestFit="1" customWidth="1"/>
    <col min="13" max="14" width="12.54296875" bestFit="1" customWidth="1"/>
    <col min="15" max="15" width="9.453125" customWidth="1"/>
    <col min="17" max="18" width="9.453125" customWidth="1"/>
  </cols>
  <sheetData>
    <row r="1" spans="1:15" x14ac:dyDescent="0.35">
      <c r="A1" s="22" t="s">
        <v>153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5" x14ac:dyDescent="0.35">
      <c r="A4" s="5">
        <f>SUMIF('Active Jobs Sheet'!$A$2:$A$75,"CBUS",('Active Jobs Sheet'!H2:H77))</f>
        <v>409162.46</v>
      </c>
      <c r="B4" s="5">
        <f>SUMIF('Active Jobs Sheet'!$A$2:$A$75,"CBUS",('Active Jobs Sheet'!I2:I77))</f>
        <v>562231.64</v>
      </c>
      <c r="C4" s="5">
        <f>SUMIF('Active Jobs Sheet'!$A$2:$A$75,"CBUS",('Active Jobs Sheet'!J2:J77))</f>
        <v>407970.84</v>
      </c>
      <c r="D4" s="5">
        <f>SUMIF('Active Jobs Sheet'!$A$2:$A$75,"CBUS",('Active Jobs Sheet'!K2:K77))</f>
        <v>142737</v>
      </c>
      <c r="E4" s="5">
        <f>SUMIF('Active Jobs Sheet'!$A$2:$A$75,"CBUS",('Active Jobs Sheet'!L2:L77))</f>
        <v>540049.18999999994</v>
      </c>
      <c r="F4" s="5">
        <f>SUMIF('Active Jobs Sheet'!$A$2:$A$75,"CBUS",('Active Jobs Sheet'!M2:M77))</f>
        <v>390940</v>
      </c>
      <c r="G4" s="5">
        <f>SUMIF('Active Jobs Sheet'!$A$2:$A$75,"CBUS",('Active Jobs Sheet'!N2:N77))</f>
        <v>278800</v>
      </c>
      <c r="H4" s="5">
        <f>SUMIF('Active Jobs Sheet'!$A$2:$A$75,"CBUS",('Active Jobs Sheet'!O2:O77))</f>
        <v>96910</v>
      </c>
      <c r="I4" s="5">
        <f>SUMIF('Active Jobs Sheet'!$A$2:$A$75,"CBUS",('Active Jobs Sheet'!P2:P77))</f>
        <v>0</v>
      </c>
      <c r="J4" s="5">
        <f>SUMIF('Active Jobs Sheet'!$A$2:$A$75,"CBUS",('Active Jobs Sheet'!Q2:Q77))</f>
        <v>0</v>
      </c>
    </row>
  </sheetData>
  <mergeCells count="1">
    <mergeCell ref="A1:O2"/>
  </mergeCells>
  <pageMargins left="0.7" right="0.7" top="0.75" bottom="0.75" header="0.3" footer="0.3"/>
  <pageSetup paperSize="17" scale="85" fitToWidth="2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view="pageBreakPreview" zoomScaleNormal="100" zoomScaleSheetLayoutView="100" workbookViewId="0">
      <selection activeCell="A3" sqref="A3"/>
    </sheetView>
  </sheetViews>
  <sheetFormatPr defaultRowHeight="14.5" x14ac:dyDescent="0.35"/>
  <cols>
    <col min="1" max="2" width="14.26953125" bestFit="1" customWidth="1"/>
    <col min="3" max="3" width="14.453125" bestFit="1" customWidth="1"/>
    <col min="4" max="4" width="13.7265625" bestFit="1" customWidth="1"/>
    <col min="5" max="6" width="14.26953125" bestFit="1" customWidth="1"/>
    <col min="7" max="7" width="13.7265625" bestFit="1" customWidth="1"/>
    <col min="8" max="8" width="13.453125" bestFit="1" customWidth="1"/>
    <col min="9" max="10" width="13.7265625" bestFit="1" customWidth="1"/>
    <col min="11" max="12" width="12.453125" bestFit="1" customWidth="1"/>
    <col min="13" max="14" width="12.54296875" bestFit="1" customWidth="1"/>
    <col min="15" max="15" width="9.453125" customWidth="1"/>
    <col min="17" max="18" width="9.453125" customWidth="1"/>
  </cols>
  <sheetData>
    <row r="1" spans="1:15" x14ac:dyDescent="0.35">
      <c r="A1" s="22" t="s">
        <v>154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5" x14ac:dyDescent="0.35">
      <c r="A4" s="5">
        <f>SUMIF('Active Jobs Sheet'!$A$2:$A$75,"CLE",('Active Jobs Sheet'!H2:H77))</f>
        <v>278514.67</v>
      </c>
      <c r="B4" s="5">
        <f>SUMIF('Active Jobs Sheet'!$A$2:$A$75,"CLE",('Active Jobs Sheet'!I2:I77))</f>
        <v>393445.14999999997</v>
      </c>
      <c r="C4" s="5">
        <f>SUMIF('Active Jobs Sheet'!$A$2:$A$75,"CLE",('Active Jobs Sheet'!J2:J77))</f>
        <v>280207</v>
      </c>
      <c r="D4" s="5">
        <f>SUMIF('Active Jobs Sheet'!$A$2:$A$75,"CLE",('Active Jobs Sheet'!K2:K77))</f>
        <v>334064.03000000003</v>
      </c>
      <c r="E4" s="5">
        <f>SUMIF('Active Jobs Sheet'!$A$2:$A$75,"CLE",('Active Jobs Sheet'!L2:L77))</f>
        <v>86365</v>
      </c>
      <c r="F4" s="5">
        <f>SUMIF('Active Jobs Sheet'!$A$2:$A$75,"CLE",('Active Jobs Sheet'!M2:M77))</f>
        <v>0</v>
      </c>
      <c r="G4" s="5">
        <f>SUMIF('Active Jobs Sheet'!$A$2:$A$75,"CLE",('Active Jobs Sheet'!N2:N77))</f>
        <v>0</v>
      </c>
      <c r="H4" s="5">
        <f>SUMIF('Active Jobs Sheet'!$A$2:$A$75,"CLE",('Active Jobs Sheet'!O2:O77))</f>
        <v>0</v>
      </c>
      <c r="I4" s="5">
        <f>SUMIF('Active Jobs Sheet'!$A$2:$A$75,"CLE",('Active Jobs Sheet'!P2:P77))</f>
        <v>0</v>
      </c>
      <c r="J4" s="5">
        <f>SUMIF('Active Jobs Sheet'!$A$2:$A$75,"CLE",('Active Jobs Sheet'!Q2:Q77))</f>
        <v>0</v>
      </c>
    </row>
  </sheetData>
  <mergeCells count="1">
    <mergeCell ref="A1:O2"/>
  </mergeCells>
  <pageMargins left="0.7" right="0.7" top="0.75" bottom="0.75" header="0.3" footer="0.3"/>
  <pageSetup paperSize="17" scale="85" fitToWidth="2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"/>
  <sheetViews>
    <sheetView workbookViewId="0">
      <selection activeCell="I5" sqref="I5"/>
    </sheetView>
  </sheetViews>
  <sheetFormatPr defaultRowHeight="14.5" x14ac:dyDescent="0.35"/>
  <cols>
    <col min="1" max="1" width="21.26953125" bestFit="1" customWidth="1"/>
    <col min="2" max="2" width="19.7265625" bestFit="1" customWidth="1"/>
    <col min="7" max="8" width="17.26953125" bestFit="1" customWidth="1"/>
    <col min="9" max="9" width="25.54296875" bestFit="1" customWidth="1"/>
  </cols>
  <sheetData>
    <row r="1" spans="1:9" ht="18.649999999999999" customHeight="1" x14ac:dyDescent="0.45">
      <c r="A1" s="9" t="s">
        <v>155</v>
      </c>
      <c r="B1" s="9" t="s">
        <v>156</v>
      </c>
      <c r="G1" t="s">
        <v>157</v>
      </c>
      <c r="H1" t="s">
        <v>158</v>
      </c>
      <c r="I1" t="s">
        <v>159</v>
      </c>
    </row>
    <row r="2" spans="1:9" ht="18.649999999999999" customHeight="1" x14ac:dyDescent="0.45">
      <c r="A2" s="10">
        <f>G2</f>
        <v>12030822</v>
      </c>
      <c r="B2" s="10">
        <f>SUM('Active Jobs Sheet'!H2:Q77)+H2</f>
        <v>5209221.9800000004</v>
      </c>
      <c r="G2" s="4">
        <v>12030822</v>
      </c>
      <c r="H2" s="4">
        <v>1007825</v>
      </c>
      <c r="I2" s="5">
        <f>G2-Table2[[#This Row],[2026]]</f>
        <v>6821600.0199999996</v>
      </c>
    </row>
  </sheetData>
  <pageMargins left="0.7" right="0.7" top="0.75" bottom="0.75" header="0.3" footer="0.3"/>
  <pageSetup paperSize="17" fitToWidth="2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3"/>
  <sheetViews>
    <sheetView topLeftCell="A49" workbookViewId="0">
      <selection activeCell="C61" sqref="C61"/>
    </sheetView>
  </sheetViews>
  <sheetFormatPr defaultRowHeight="14.5" x14ac:dyDescent="0.35"/>
  <cols>
    <col min="2" max="2" width="30.26953125" bestFit="1" customWidth="1"/>
    <col min="3" max="3" width="18.7265625" customWidth="1"/>
    <col min="4" max="4" width="14.26953125" bestFit="1" customWidth="1"/>
    <col min="8" max="8" width="16.26953125" customWidth="1"/>
    <col min="11" max="11" width="14.26953125" bestFit="1" customWidth="1"/>
    <col min="13" max="13" width="10.453125" bestFit="1" customWidth="1"/>
    <col min="15" max="15" width="12.54296875" bestFit="1" customWidth="1"/>
  </cols>
  <sheetData>
    <row r="1" spans="1:15" x14ac:dyDescent="0.35">
      <c r="A1" s="15" t="s">
        <v>160</v>
      </c>
      <c r="B1" s="15" t="s">
        <v>161</v>
      </c>
      <c r="C1" s="15" t="s">
        <v>162</v>
      </c>
      <c r="D1" s="15" t="s">
        <v>163</v>
      </c>
    </row>
    <row r="2" spans="1:15" x14ac:dyDescent="0.35">
      <c r="A2" t="s">
        <v>20</v>
      </c>
      <c r="B2" t="s">
        <v>164</v>
      </c>
      <c r="C2" s="4">
        <v>309888.75</v>
      </c>
      <c r="D2" s="4">
        <v>266144.90000000002</v>
      </c>
      <c r="K2" s="4"/>
      <c r="M2" s="5"/>
      <c r="O2" s="4"/>
    </row>
    <row r="3" spans="1:15" x14ac:dyDescent="0.35">
      <c r="A3" t="s">
        <v>24</v>
      </c>
      <c r="B3" t="s">
        <v>165</v>
      </c>
      <c r="C3" s="4">
        <v>637845.28</v>
      </c>
      <c r="D3" s="4">
        <v>637845.28</v>
      </c>
      <c r="K3" s="4"/>
      <c r="O3" s="4"/>
    </row>
    <row r="4" spans="1:15" x14ac:dyDescent="0.35">
      <c r="A4" t="s">
        <v>166</v>
      </c>
      <c r="B4" t="s">
        <v>167</v>
      </c>
      <c r="C4" s="4">
        <v>392196.38</v>
      </c>
      <c r="D4" s="4">
        <v>392196.38</v>
      </c>
      <c r="K4" s="4"/>
      <c r="O4" s="4"/>
    </row>
    <row r="5" spans="1:15" x14ac:dyDescent="0.35">
      <c r="A5" t="s">
        <v>27</v>
      </c>
      <c r="B5" t="s">
        <v>28</v>
      </c>
      <c r="C5" s="4">
        <v>416108.63</v>
      </c>
      <c r="D5" s="4">
        <v>416108.63</v>
      </c>
      <c r="K5" s="4"/>
      <c r="O5" s="4"/>
    </row>
    <row r="6" spans="1:15" x14ac:dyDescent="0.35">
      <c r="A6" t="s">
        <v>29</v>
      </c>
      <c r="B6" t="s">
        <v>30</v>
      </c>
      <c r="C6" s="4">
        <v>655214.82999999996</v>
      </c>
      <c r="D6" s="4">
        <v>499895.2</v>
      </c>
      <c r="K6" s="4"/>
      <c r="O6" s="4"/>
    </row>
    <row r="7" spans="1:15" x14ac:dyDescent="0.35">
      <c r="A7" t="s">
        <v>31</v>
      </c>
      <c r="B7" t="s">
        <v>168</v>
      </c>
      <c r="C7" s="4">
        <v>81936.5</v>
      </c>
      <c r="D7" s="4">
        <v>81936.5</v>
      </c>
      <c r="K7" s="4"/>
      <c r="O7" s="4"/>
    </row>
    <row r="8" spans="1:15" x14ac:dyDescent="0.35">
      <c r="A8" t="s">
        <v>34</v>
      </c>
      <c r="B8" t="s">
        <v>169</v>
      </c>
      <c r="C8" s="4">
        <v>1438021.29</v>
      </c>
      <c r="D8" s="4">
        <v>1416391.29</v>
      </c>
      <c r="K8" s="4"/>
    </row>
    <row r="9" spans="1:15" x14ac:dyDescent="0.35">
      <c r="A9" t="s">
        <v>37</v>
      </c>
      <c r="B9" t="s">
        <v>170</v>
      </c>
      <c r="C9" s="4">
        <v>196562</v>
      </c>
      <c r="D9" s="4">
        <v>155550</v>
      </c>
    </row>
    <row r="10" spans="1:15" x14ac:dyDescent="0.35">
      <c r="A10" t="s">
        <v>39</v>
      </c>
      <c r="B10" t="s">
        <v>40</v>
      </c>
      <c r="C10" s="4">
        <v>1949570.45</v>
      </c>
      <c r="D10" s="4">
        <v>1499798.88</v>
      </c>
    </row>
    <row r="11" spans="1:15" x14ac:dyDescent="0.35">
      <c r="A11" t="s">
        <v>42</v>
      </c>
      <c r="B11" t="s">
        <v>43</v>
      </c>
      <c r="C11" s="4">
        <v>75507.600000000006</v>
      </c>
      <c r="D11" s="4">
        <v>46635.09</v>
      </c>
    </row>
    <row r="12" spans="1:15" x14ac:dyDescent="0.35">
      <c r="A12" s="12" t="s">
        <v>44</v>
      </c>
      <c r="B12" s="12" t="s">
        <v>45</v>
      </c>
      <c r="C12" s="4">
        <v>323945.76</v>
      </c>
      <c r="D12" s="4">
        <v>262683.83</v>
      </c>
    </row>
    <row r="13" spans="1:15" x14ac:dyDescent="0.35">
      <c r="A13" t="s">
        <v>46</v>
      </c>
      <c r="B13" t="s">
        <v>47</v>
      </c>
      <c r="C13" s="4">
        <v>1010713.77</v>
      </c>
      <c r="D13" s="4">
        <v>765217.42</v>
      </c>
    </row>
    <row r="14" spans="1:15" x14ac:dyDescent="0.35">
      <c r="A14" t="s">
        <v>171</v>
      </c>
      <c r="B14" t="s">
        <v>172</v>
      </c>
      <c r="C14" s="4">
        <v>120548.97</v>
      </c>
      <c r="D14" s="4">
        <v>120548.97</v>
      </c>
    </row>
    <row r="15" spans="1:15" x14ac:dyDescent="0.35">
      <c r="A15" t="s">
        <v>48</v>
      </c>
      <c r="B15" t="s">
        <v>173</v>
      </c>
      <c r="C15" s="4">
        <v>120290</v>
      </c>
      <c r="D15" s="4">
        <v>120290</v>
      </c>
    </row>
    <row r="16" spans="1:15" x14ac:dyDescent="0.35">
      <c r="A16" t="s">
        <v>49</v>
      </c>
      <c r="B16" t="s">
        <v>50</v>
      </c>
      <c r="C16" s="4">
        <v>20706.68</v>
      </c>
      <c r="D16" s="4">
        <v>20706.68</v>
      </c>
    </row>
    <row r="17" spans="1:4" x14ac:dyDescent="0.35">
      <c r="A17" t="s">
        <v>51</v>
      </c>
      <c r="B17" t="s">
        <v>52</v>
      </c>
      <c r="C17" s="4">
        <v>191383.03</v>
      </c>
      <c r="D17" s="4">
        <v>191383.03</v>
      </c>
    </row>
    <row r="18" spans="1:4" x14ac:dyDescent="0.35">
      <c r="A18" t="s">
        <v>53</v>
      </c>
      <c r="B18" t="s">
        <v>174</v>
      </c>
      <c r="C18" s="4">
        <v>169630</v>
      </c>
      <c r="D18" s="4">
        <v>169630</v>
      </c>
    </row>
    <row r="19" spans="1:4" x14ac:dyDescent="0.35">
      <c r="A19" t="s">
        <v>54</v>
      </c>
      <c r="B19" t="s">
        <v>55</v>
      </c>
      <c r="C19" s="4">
        <v>34559</v>
      </c>
      <c r="D19" s="4">
        <v>34559</v>
      </c>
    </row>
    <row r="20" spans="1:4" x14ac:dyDescent="0.35">
      <c r="A20" t="s">
        <v>56</v>
      </c>
      <c r="B20" t="s">
        <v>175</v>
      </c>
      <c r="C20" s="4">
        <v>113552</v>
      </c>
      <c r="D20" s="4">
        <v>37472</v>
      </c>
    </row>
    <row r="21" spans="1:4" x14ac:dyDescent="0.35">
      <c r="A21" t="s">
        <v>58</v>
      </c>
      <c r="B21" t="s">
        <v>59</v>
      </c>
      <c r="C21" s="4">
        <v>46665</v>
      </c>
      <c r="D21" s="4">
        <v>3500</v>
      </c>
    </row>
    <row r="22" spans="1:4" x14ac:dyDescent="0.35">
      <c r="A22" t="s">
        <v>60</v>
      </c>
      <c r="B22" t="s">
        <v>61</v>
      </c>
      <c r="C22" s="4">
        <v>334765</v>
      </c>
      <c r="D22" s="4">
        <v>334765</v>
      </c>
    </row>
    <row r="23" spans="1:4" x14ac:dyDescent="0.35">
      <c r="A23" t="s">
        <v>62</v>
      </c>
      <c r="B23" t="s">
        <v>63</v>
      </c>
      <c r="C23" s="4">
        <v>10420</v>
      </c>
      <c r="D23" s="4">
        <v>10420</v>
      </c>
    </row>
    <row r="24" spans="1:4" x14ac:dyDescent="0.35">
      <c r="A24" t="s">
        <v>64</v>
      </c>
      <c r="B24" t="s">
        <v>65</v>
      </c>
      <c r="C24" s="4">
        <v>663912.15</v>
      </c>
      <c r="D24" s="4">
        <v>391727.69</v>
      </c>
    </row>
    <row r="25" spans="1:4" x14ac:dyDescent="0.35">
      <c r="A25" t="s">
        <v>66</v>
      </c>
      <c r="B25" t="s">
        <v>67</v>
      </c>
      <c r="C25" s="4">
        <v>79374.53</v>
      </c>
      <c r="D25" s="4">
        <v>79374.53</v>
      </c>
    </row>
    <row r="26" spans="1:4" x14ac:dyDescent="0.35">
      <c r="A26" t="s">
        <v>68</v>
      </c>
      <c r="B26" t="s">
        <v>69</v>
      </c>
      <c r="C26" s="4">
        <v>4950</v>
      </c>
      <c r="D26" s="4">
        <v>4950</v>
      </c>
    </row>
    <row r="27" spans="1:4" x14ac:dyDescent="0.35">
      <c r="A27" t="s">
        <v>71</v>
      </c>
      <c r="B27" t="s">
        <v>176</v>
      </c>
      <c r="C27" s="4">
        <v>61379</v>
      </c>
      <c r="D27" s="4">
        <v>35507.68</v>
      </c>
    </row>
    <row r="28" spans="1:4" x14ac:dyDescent="0.35">
      <c r="A28" t="s">
        <v>73</v>
      </c>
      <c r="B28" t="s">
        <v>74</v>
      </c>
      <c r="C28" s="4">
        <v>48000</v>
      </c>
      <c r="D28" s="4">
        <v>48000</v>
      </c>
    </row>
    <row r="29" spans="1:4" x14ac:dyDescent="0.35">
      <c r="A29" t="s">
        <v>75</v>
      </c>
      <c r="B29" t="s">
        <v>76</v>
      </c>
      <c r="C29" s="4">
        <v>82389</v>
      </c>
      <c r="D29" s="4">
        <v>49639</v>
      </c>
    </row>
    <row r="30" spans="1:4" x14ac:dyDescent="0.35">
      <c r="A30" t="s">
        <v>77</v>
      </c>
      <c r="B30" t="s">
        <v>177</v>
      </c>
      <c r="C30" s="4">
        <v>44652</v>
      </c>
      <c r="D30" s="4">
        <v>37987.75</v>
      </c>
    </row>
    <row r="31" spans="1:4" x14ac:dyDescent="0.35">
      <c r="A31" t="s">
        <v>79</v>
      </c>
      <c r="B31" t="s">
        <v>80</v>
      </c>
      <c r="C31" s="4">
        <v>26683</v>
      </c>
      <c r="D31" s="4">
        <v>26683</v>
      </c>
    </row>
    <row r="32" spans="1:4" x14ac:dyDescent="0.35">
      <c r="A32" t="s">
        <v>81</v>
      </c>
      <c r="B32" t="s">
        <v>178</v>
      </c>
      <c r="C32" s="4">
        <v>189316</v>
      </c>
      <c r="D32" s="4">
        <v>161095</v>
      </c>
    </row>
    <row r="33" spans="1:4" x14ac:dyDescent="0.35">
      <c r="A33" t="s">
        <v>83</v>
      </c>
      <c r="B33" t="s">
        <v>179</v>
      </c>
      <c r="C33" s="4">
        <v>75456.509999999995</v>
      </c>
      <c r="D33" s="4">
        <v>75456.509999999995</v>
      </c>
    </row>
    <row r="34" spans="1:4" x14ac:dyDescent="0.35">
      <c r="A34" t="s">
        <v>84</v>
      </c>
      <c r="B34" t="s">
        <v>180</v>
      </c>
      <c r="C34" s="4">
        <v>13690</v>
      </c>
      <c r="D34" s="4">
        <v>13690</v>
      </c>
    </row>
    <row r="35" spans="1:4" x14ac:dyDescent="0.35">
      <c r="A35" t="s">
        <v>85</v>
      </c>
      <c r="B35" t="s">
        <v>86</v>
      </c>
      <c r="C35" s="4">
        <v>200000</v>
      </c>
      <c r="D35" s="4">
        <v>200000</v>
      </c>
    </row>
    <row r="36" spans="1:4" x14ac:dyDescent="0.35">
      <c r="A36" t="s">
        <v>87</v>
      </c>
      <c r="B36" t="s">
        <v>181</v>
      </c>
      <c r="C36" s="4">
        <v>171150</v>
      </c>
      <c r="D36" s="4">
        <v>72943</v>
      </c>
    </row>
    <row r="37" spans="1:4" x14ac:dyDescent="0.35">
      <c r="A37" t="s">
        <v>89</v>
      </c>
      <c r="B37" t="s">
        <v>182</v>
      </c>
      <c r="C37" s="4">
        <v>51694.66</v>
      </c>
      <c r="D37" s="4">
        <v>51694.66</v>
      </c>
    </row>
    <row r="38" spans="1:4" x14ac:dyDescent="0.35">
      <c r="A38" t="s">
        <v>90</v>
      </c>
      <c r="B38" t="s">
        <v>91</v>
      </c>
      <c r="C38" s="4">
        <v>8400</v>
      </c>
      <c r="D38" s="4">
        <v>8400</v>
      </c>
    </row>
    <row r="39" spans="1:4" x14ac:dyDescent="0.35">
      <c r="A39" t="s">
        <v>92</v>
      </c>
      <c r="B39" t="s">
        <v>93</v>
      </c>
      <c r="C39" s="4">
        <v>25250</v>
      </c>
      <c r="D39" s="4">
        <v>5000</v>
      </c>
    </row>
    <row r="40" spans="1:4" x14ac:dyDescent="0.35">
      <c r="A40" t="s">
        <v>94</v>
      </c>
      <c r="B40" t="s">
        <v>183</v>
      </c>
      <c r="C40" s="4">
        <v>159220</v>
      </c>
      <c r="D40" s="4">
        <v>6338</v>
      </c>
    </row>
    <row r="41" spans="1:4" x14ac:dyDescent="0.35">
      <c r="A41" t="s">
        <v>96</v>
      </c>
      <c r="B41" t="s">
        <v>184</v>
      </c>
      <c r="C41" s="4">
        <v>159220</v>
      </c>
      <c r="D41" s="4">
        <v>6338</v>
      </c>
    </row>
    <row r="42" spans="1:4" x14ac:dyDescent="0.35">
      <c r="A42" t="s">
        <v>98</v>
      </c>
      <c r="B42" t="s">
        <v>99</v>
      </c>
      <c r="C42" s="4">
        <v>43540</v>
      </c>
      <c r="D42" s="4">
        <v>5000</v>
      </c>
    </row>
    <row r="43" spans="1:4" x14ac:dyDescent="0.35">
      <c r="A43" t="s">
        <v>100</v>
      </c>
      <c r="B43" t="s">
        <v>185</v>
      </c>
      <c r="C43" s="4">
        <v>20945</v>
      </c>
      <c r="D43" s="4">
        <v>20945</v>
      </c>
    </row>
    <row r="44" spans="1:4" x14ac:dyDescent="0.35">
      <c r="A44" t="s">
        <v>101</v>
      </c>
      <c r="B44" t="s">
        <v>186</v>
      </c>
      <c r="C44" s="4">
        <v>59390</v>
      </c>
      <c r="D44" s="4">
        <v>4500</v>
      </c>
    </row>
    <row r="45" spans="1:4" x14ac:dyDescent="0.35">
      <c r="A45" t="s">
        <v>103</v>
      </c>
      <c r="B45" t="s">
        <v>187</v>
      </c>
      <c r="C45" s="4">
        <v>20585.650000000001</v>
      </c>
      <c r="D45" s="4">
        <v>20585.650000000001</v>
      </c>
    </row>
    <row r="46" spans="1:4" x14ac:dyDescent="0.35">
      <c r="A46" t="s">
        <v>188</v>
      </c>
      <c r="B46" t="s">
        <v>189</v>
      </c>
      <c r="C46" s="4">
        <v>2840</v>
      </c>
      <c r="D46" s="4">
        <v>2840</v>
      </c>
    </row>
    <row r="47" spans="1:4" x14ac:dyDescent="0.35">
      <c r="A47" t="s">
        <v>104</v>
      </c>
      <c r="B47" t="s">
        <v>105</v>
      </c>
      <c r="C47" s="4">
        <v>5388</v>
      </c>
      <c r="D47" s="4">
        <v>5338</v>
      </c>
    </row>
    <row r="48" spans="1:4" x14ac:dyDescent="0.35">
      <c r="A48" t="s">
        <v>106</v>
      </c>
      <c r="B48" t="s">
        <v>107</v>
      </c>
      <c r="C48" s="4">
        <v>215</v>
      </c>
      <c r="D48" s="4">
        <v>215</v>
      </c>
    </row>
    <row r="49" spans="1:4" x14ac:dyDescent="0.35">
      <c r="A49" t="s">
        <v>108</v>
      </c>
      <c r="B49" t="s">
        <v>109</v>
      </c>
      <c r="C49" s="4">
        <v>6418</v>
      </c>
      <c r="D49" s="4">
        <v>0</v>
      </c>
    </row>
    <row r="50" spans="1:4" x14ac:dyDescent="0.35">
      <c r="A50" t="s">
        <v>110</v>
      </c>
      <c r="B50" t="s">
        <v>111</v>
      </c>
      <c r="C50" s="4">
        <v>6650</v>
      </c>
      <c r="D50" s="4">
        <v>6650</v>
      </c>
    </row>
    <row r="51" spans="1:4" x14ac:dyDescent="0.35">
      <c r="A51" t="s">
        <v>112</v>
      </c>
      <c r="B51" t="s">
        <v>113</v>
      </c>
      <c r="C51" s="4">
        <v>9866.5</v>
      </c>
      <c r="D51" s="4">
        <v>9866.5</v>
      </c>
    </row>
    <row r="52" spans="1:4" x14ac:dyDescent="0.35">
      <c r="A52" t="s">
        <v>114</v>
      </c>
      <c r="B52" t="s">
        <v>190</v>
      </c>
      <c r="C52" s="4">
        <v>95668</v>
      </c>
      <c r="D52" s="4">
        <v>47834</v>
      </c>
    </row>
    <row r="53" spans="1:4" x14ac:dyDescent="0.35">
      <c r="A53" t="s">
        <v>116</v>
      </c>
      <c r="B53" t="s">
        <v>117</v>
      </c>
      <c r="C53" s="4">
        <v>85225</v>
      </c>
      <c r="D53" s="4">
        <v>0</v>
      </c>
    </row>
    <row r="54" spans="1:4" x14ac:dyDescent="0.35">
      <c r="A54" t="s">
        <v>118</v>
      </c>
      <c r="B54" t="s">
        <v>119</v>
      </c>
      <c r="C54" s="4">
        <v>104700</v>
      </c>
      <c r="D54" s="4">
        <v>72825</v>
      </c>
    </row>
    <row r="55" spans="1:4" x14ac:dyDescent="0.35">
      <c r="A55" t="s">
        <v>120</v>
      </c>
      <c r="B55" t="s">
        <v>121</v>
      </c>
      <c r="C55" s="4">
        <v>434892</v>
      </c>
      <c r="D55" s="4">
        <v>0</v>
      </c>
    </row>
    <row r="56" spans="1:4" x14ac:dyDescent="0.35">
      <c r="A56" t="s">
        <v>122</v>
      </c>
      <c r="B56" t="s">
        <v>123</v>
      </c>
      <c r="C56" s="4">
        <v>12300</v>
      </c>
      <c r="D56" s="4">
        <v>6925.01</v>
      </c>
    </row>
    <row r="57" spans="1:4" x14ac:dyDescent="0.35">
      <c r="A57" t="s">
        <v>124</v>
      </c>
      <c r="B57" t="s">
        <v>125</v>
      </c>
      <c r="C57" s="4">
        <v>178980.93</v>
      </c>
      <c r="D57" s="4">
        <v>0</v>
      </c>
    </row>
    <row r="58" spans="1:4" x14ac:dyDescent="0.35">
      <c r="A58" t="s">
        <v>126</v>
      </c>
      <c r="B58" t="s">
        <v>127</v>
      </c>
      <c r="C58" s="4">
        <v>478940</v>
      </c>
      <c r="D58" s="4">
        <v>0</v>
      </c>
    </row>
    <row r="59" spans="1:4" x14ac:dyDescent="0.35">
      <c r="A59" t="s">
        <v>128</v>
      </c>
      <c r="B59" t="s">
        <v>129</v>
      </c>
      <c r="C59" s="4">
        <v>52180</v>
      </c>
      <c r="D59" s="4">
        <v>0</v>
      </c>
    </row>
    <row r="60" spans="1:4" x14ac:dyDescent="0.35">
      <c r="A60" t="s">
        <v>130</v>
      </c>
      <c r="B60" t="s">
        <v>131</v>
      </c>
      <c r="C60" s="4">
        <v>16900</v>
      </c>
      <c r="D60" s="4">
        <v>0</v>
      </c>
    </row>
    <row r="61" spans="1:4" x14ac:dyDescent="0.35">
      <c r="A61" t="s">
        <v>132</v>
      </c>
      <c r="B61" t="s">
        <v>133</v>
      </c>
      <c r="C61" s="4">
        <v>8000</v>
      </c>
      <c r="D61" s="4">
        <v>3600</v>
      </c>
    </row>
    <row r="62" spans="1:4" x14ac:dyDescent="0.35">
      <c r="A62" t="s">
        <v>134</v>
      </c>
      <c r="B62" t="s">
        <v>135</v>
      </c>
      <c r="C62" s="4">
        <v>5815</v>
      </c>
      <c r="D62" s="4">
        <v>2565</v>
      </c>
    </row>
    <row r="63" spans="1:4" x14ac:dyDescent="0.35">
      <c r="A63" t="s">
        <v>136</v>
      </c>
      <c r="B63" t="s">
        <v>191</v>
      </c>
      <c r="C63" s="4">
        <v>54375</v>
      </c>
      <c r="D63" s="4">
        <v>0</v>
      </c>
    </row>
    <row r="64" spans="1:4" x14ac:dyDescent="0.35">
      <c r="A64" t="s">
        <v>138</v>
      </c>
      <c r="B64" t="s">
        <v>192</v>
      </c>
      <c r="C64" s="4">
        <f>2345+230540+77525</f>
        <v>310410</v>
      </c>
      <c r="D64" s="4">
        <v>0</v>
      </c>
    </row>
    <row r="65" spans="1:4" x14ac:dyDescent="0.35">
      <c r="A65" t="s">
        <v>140</v>
      </c>
      <c r="B65" t="s">
        <v>193</v>
      </c>
      <c r="C65" s="4">
        <v>100000</v>
      </c>
      <c r="D65" s="4">
        <v>0</v>
      </c>
    </row>
    <row r="66" spans="1:4" x14ac:dyDescent="0.35">
      <c r="A66" t="s">
        <v>142</v>
      </c>
      <c r="B66" t="s">
        <v>143</v>
      </c>
      <c r="C66" s="4">
        <v>99340</v>
      </c>
      <c r="D66" s="4">
        <v>0</v>
      </c>
    </row>
    <row r="67" spans="1:4" x14ac:dyDescent="0.35">
      <c r="A67" t="s">
        <v>144</v>
      </c>
      <c r="B67" t="s">
        <v>194</v>
      </c>
      <c r="C67" s="4">
        <v>89827.19</v>
      </c>
      <c r="D67" s="4">
        <v>0</v>
      </c>
    </row>
    <row r="68" spans="1:4" x14ac:dyDescent="0.35">
      <c r="A68" s="16" t="s">
        <v>146</v>
      </c>
      <c r="B68" t="s">
        <v>195</v>
      </c>
      <c r="C68" s="4">
        <v>5670</v>
      </c>
      <c r="D68" s="4">
        <v>0</v>
      </c>
    </row>
    <row r="69" spans="1:4" x14ac:dyDescent="0.35">
      <c r="A69" s="16" t="s">
        <v>148</v>
      </c>
      <c r="B69" t="s">
        <v>196</v>
      </c>
      <c r="C69" s="4">
        <v>46400</v>
      </c>
      <c r="D69" s="4">
        <v>0</v>
      </c>
    </row>
    <row r="70" spans="1:4" x14ac:dyDescent="0.35">
      <c r="A70" t="s">
        <v>197</v>
      </c>
      <c r="B70" t="s">
        <v>199</v>
      </c>
      <c r="C70" s="4">
        <v>26660</v>
      </c>
      <c r="D70" s="4">
        <v>0</v>
      </c>
    </row>
    <row r="71" spans="1:4" x14ac:dyDescent="0.35">
      <c r="A71" t="s">
        <v>200</v>
      </c>
      <c r="B71" t="s">
        <v>203</v>
      </c>
      <c r="C71" s="4">
        <v>46465</v>
      </c>
      <c r="D71" s="4">
        <v>0</v>
      </c>
    </row>
    <row r="72" spans="1:4" x14ac:dyDescent="0.35">
      <c r="A72" t="s">
        <v>201</v>
      </c>
      <c r="B72" t="s">
        <v>204</v>
      </c>
      <c r="C72" s="4">
        <v>9340</v>
      </c>
      <c r="D72" s="4">
        <v>0</v>
      </c>
    </row>
    <row r="73" spans="1:4" x14ac:dyDescent="0.35">
      <c r="A73" t="s">
        <v>202</v>
      </c>
      <c r="B73" t="s">
        <v>205</v>
      </c>
      <c r="C73" s="4">
        <v>4395</v>
      </c>
      <c r="D73" s="4">
        <v>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 Jobs Sheet</vt:lpstr>
      <vt:lpstr>Projected Monthly Rev</vt:lpstr>
      <vt:lpstr>CBUS Projected Monthly Revenues</vt:lpstr>
      <vt:lpstr>CLE Projected Monthly Rev</vt:lpstr>
      <vt:lpstr>Projected Annual Income Remanin</vt:lpstr>
      <vt:lpstr>Foundation Inport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Strickland</dc:creator>
  <cp:lastModifiedBy>Sarah Mitchell</cp:lastModifiedBy>
  <cp:lastPrinted>2025-08-19T14:03:14Z</cp:lastPrinted>
  <dcterms:created xsi:type="dcterms:W3CDTF">2024-04-02T16:51:33Z</dcterms:created>
  <dcterms:modified xsi:type="dcterms:W3CDTF">2026-03-31T22:43:14Z</dcterms:modified>
</cp:coreProperties>
</file>